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対応管理表" sheetId="1" state="visible" r:id="rId1"/>
    <sheet name="集計" sheetId="2" state="visible" r:id="rId2"/>
    <sheet name="マスタ" sheetId="3" state="visible" r:id="rId3"/>
    <sheet name="使い方" sheetId="4" state="visible" r:id="rId4"/>
  </sheets>
  <definedNames>
    <definedName name="_xlnm._FilterDatabase" localSheetId="0" hidden="1">'対応管理表'!$A$2:$T$302</definedName>
    <definedName name="_xlnm.Print_Titles" localSheetId="0">'対応管理表'!$1:$2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0&quot;日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3"/>
    </font>
    <font>
      <name val="Arial"/>
      <b val="1"/>
      <color rgb="001F4E79"/>
      <sz val="11"/>
    </font>
    <font>
      <name val="Arial"/>
      <color rgb="005A6778"/>
      <sz val="10"/>
    </font>
    <font>
      <name val="Arial"/>
      <b val="1"/>
      <color rgb="001F4E79"/>
      <sz val="14"/>
    </font>
    <font>
      <name val="Arial"/>
      <color rgb="005A6778"/>
      <sz val="9"/>
    </font>
    <font>
      <name val="Arial"/>
      <b val="1"/>
      <sz val="11"/>
    </font>
    <font>
      <name val="Arial"/>
      <b val="1"/>
      <color rgb="00C00000"/>
      <sz val="10"/>
    </font>
    <font>
      <name val="Arial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6B7C8F"/>
      </patternFill>
    </fill>
    <fill>
      <patternFill patternType="solid">
        <fgColor rgb="00F1F4F8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  <border>
      <left style="thin">
        <color rgb="00A6B4C6"/>
      </left>
      <right style="thin">
        <color rgb="00A6B4C6"/>
      </right>
      <top style="thin">
        <color rgb="00A6B4C6"/>
      </top>
      <bottom style="thin">
        <color rgb="00A6B4C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top"/>
    </xf>
    <xf numFmtId="165" fontId="2" fillId="0" borderId="1" applyAlignment="1" pivotButton="0" quotePrefix="0" xfId="0">
      <alignment horizontal="center" vertical="top"/>
    </xf>
    <xf numFmtId="166" fontId="2" fillId="4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vertical="top" wrapText="1"/>
    </xf>
    <xf numFmtId="0" fontId="11" fillId="0" borderId="0" pivotButton="0" quotePrefix="0" xfId="0"/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name val="Arial"/>
        <b val="1"/>
        <color rgb="00A61E1E"/>
        <sz val="10"/>
      </font>
      <fill>
        <patternFill patternType="solid">
          <fgColor rgb="00FBE2E2"/>
        </patternFill>
      </fill>
    </dxf>
    <dxf>
      <font>
        <name val="Arial"/>
        <b val="1"/>
        <color rgb="007A4A00"/>
        <sz val="10"/>
      </font>
      <fill>
        <patternFill patternType="solid">
          <fgColor rgb="00FFF0D0"/>
        </patternFill>
      </fill>
    </dxf>
    <dxf>
      <font>
        <name val="Arial"/>
        <b val="1"/>
        <color rgb="003F4A5A"/>
        <sz val="10"/>
      </font>
      <fill>
        <patternFill patternType="solid">
          <fgColor rgb="00E7EAEF"/>
        </patternFill>
      </fill>
    </dxf>
    <dxf>
      <font>
        <name val="Arial"/>
        <b val="1"/>
        <color rgb="00175E33"/>
        <sz val="10"/>
      </font>
      <fill>
        <patternFill patternType="solid">
          <fgColor rgb="00DDF3E4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ont>
        <name val="Arial"/>
        <b val="1"/>
        <color rgb="00843C0C"/>
        <sz val="10"/>
      </font>
      <fill>
        <patternFill patternType="solid">
          <fgColor rgb="00F8C99B"/>
        </patternFill>
      </fill>
    </dxf>
    <dxf>
      <font>
        <name val="Arial"/>
        <b val="1"/>
        <color rgb="00C00000"/>
        <sz val="10"/>
      </font>
    </dxf>
    <dxf>
      <fill>
        <patternFill patternType="solid">
          <fgColor rgb="00FDECEA"/>
        </patternFill>
      </fill>
    </dxf>
    <dxf>
      <font>
        <name val="Arial"/>
        <color rgb="00909AA6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02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4" customWidth="1" min="3" max="3"/>
    <col width="9" customWidth="1" min="4" max="4"/>
    <col width="11" customWidth="1" min="5" max="5"/>
    <col width="7" customWidth="1" min="6" max="6"/>
    <col width="13" customWidth="1" min="7" max="7"/>
    <col width="8" customWidth="1" min="8" max="8"/>
    <col width="11" customWidth="1" min="9" max="9"/>
    <col width="9" customWidth="1" min="10" max="10"/>
    <col width="11" customWidth="1" min="11" max="11"/>
    <col width="11" customWidth="1" min="12" max="12"/>
    <col width="16" customWidth="1" min="13" max="13"/>
    <col width="18" customWidth="1" min="14" max="14"/>
    <col width="15" customWidth="1" min="15" max="15"/>
    <col width="34" customWidth="1" min="16" max="16"/>
    <col width="40" customWidth="1" min="17" max="17"/>
    <col width="10" customWidth="1" min="18" max="18"/>
    <col width="11" customWidth="1" min="19" max="19"/>
    <col width="24" customWidth="1" min="20" max="20"/>
  </cols>
  <sheetData>
    <row r="1" ht="26" customHeight="1">
      <c r="A1" s="1" t="inlineStr">
        <is>
          <t>備品トラブル対応台帳</t>
        </is>
      </c>
      <c r="E1" s="2">
        <f>"未完了 "&amp;COUNTIFS($B$3:$B$1002,"&lt;&gt;完了",$B$3:$B$1002,"&lt;&gt;")&amp;" 件"&amp;"　│　期限超過 "&amp;COUNTIF($D$3:$D$1002,"超過")&amp;" 件"&amp;"　│　期限間近 "&amp;COUNTIF($D$3:$D$1002,"間近")&amp;" 件"&amp;"　│　担当未定 "&amp;COUNTIFS($B$3:$B$1002,"&lt;&gt;完了",$B$3:$B$1002,"&lt;&gt;",$G$3:$G$1002,"")&amp;" 件"</f>
        <v/>
      </c>
      <c r="N1" s="3">
        <f>"本日 "&amp;TEXT(TODAY(),"yyyy/mm/dd")&amp;"　│　次に使う管理No. "&amp;TEXT(YEAR(TODAY()),"0")&amp;"-"&amp;TEXT(SUMPRODUCT(MAX((LEFT($A$3:$A$302,4)=TEXT(YEAR(TODAY()),"0"))*IFERROR(VALUE(RIGHT($A$3:$A$302,3)),0)))+1,"000")</f>
        <v/>
      </c>
    </row>
    <row r="2" ht="28" customHeight="1">
      <c r="A2" s="4" t="inlineStr">
        <is>
          <t>管理No.</t>
        </is>
      </c>
      <c r="B2" s="4" t="inlineStr">
        <is>
          <t>対応状況</t>
        </is>
      </c>
      <c r="C2" s="4" t="inlineStr">
        <is>
          <t>対象物（品名）</t>
        </is>
      </c>
      <c r="D2" s="5" t="inlineStr">
        <is>
          <t>期限判定</t>
        </is>
      </c>
      <c r="E2" s="4" t="inlineStr">
        <is>
          <t>対応期限</t>
        </is>
      </c>
      <c r="F2" s="4" t="inlineStr">
        <is>
          <t>優先度</t>
        </is>
      </c>
      <c r="G2" s="4" t="inlineStr">
        <is>
          <t>対応担当者</t>
        </is>
      </c>
      <c r="H2" s="4" t="inlineStr">
        <is>
          <t>区分</t>
        </is>
      </c>
      <c r="I2" s="4" t="inlineStr">
        <is>
          <t>受付日</t>
        </is>
      </c>
      <c r="J2" s="5" t="inlineStr">
        <is>
          <t>経過日数</t>
        </is>
      </c>
      <c r="K2" s="4" t="inlineStr">
        <is>
          <t>完了日</t>
        </is>
      </c>
      <c r="L2" s="4" t="inlineStr">
        <is>
          <t>発生日</t>
        </is>
      </c>
      <c r="M2" s="4" t="inlineStr">
        <is>
          <t>発生場所</t>
        </is>
      </c>
      <c r="N2" s="4" t="inlineStr">
        <is>
          <t>報告者（部署・氏名）</t>
        </is>
      </c>
      <c r="O2" s="4" t="inlineStr">
        <is>
          <t>資産番号・管理番号</t>
        </is>
      </c>
      <c r="P2" s="4" t="inlineStr">
        <is>
          <t>状況・詳細</t>
        </is>
      </c>
      <c r="Q2" s="4" t="inlineStr">
        <is>
          <t>対応内容・経過（最新を上に）</t>
        </is>
      </c>
      <c r="R2" s="4" t="inlineStr">
        <is>
          <t>警察届出</t>
        </is>
      </c>
      <c r="S2" s="4" t="inlineStr">
        <is>
          <t>費用（円）</t>
        </is>
      </c>
      <c r="T2" s="4" t="inlineStr">
        <is>
          <t>備考</t>
        </is>
      </c>
    </row>
    <row r="3" ht="18" customHeight="1">
      <c r="A3" s="6" t="inlineStr">
        <is>
          <t>2026-001</t>
        </is>
      </c>
      <c r="B3" s="7" t="inlineStr">
        <is>
          <t>対応中</t>
        </is>
      </c>
      <c r="C3" s="8" t="inlineStr">
        <is>
          <t>ノートPC（営業部貸与）</t>
        </is>
      </c>
      <c r="D3" s="9">
        <f>IF(OR(E3="",B3="完了"),"",IF(TODAY()&gt;E3,"超過",IF(TODAY()+3&gt;=E3,"間近","")))</f>
        <v/>
      </c>
      <c r="E3" s="10" t="n">
        <v>46283</v>
      </c>
      <c r="F3" s="7" t="inlineStr">
        <is>
          <t>高</t>
        </is>
      </c>
      <c r="G3" s="7" t="inlineStr">
        <is>
          <t>総務 山田</t>
        </is>
      </c>
      <c r="H3" s="7" t="inlineStr">
        <is>
          <t>破損</t>
        </is>
      </c>
      <c r="I3" s="10" t="n">
        <v>46273</v>
      </c>
      <c r="J3" s="11">
        <f>IF(I3="","",IF(K3&lt;&gt;"",K3-I3,TODAY()-I3))</f>
        <v/>
      </c>
      <c r="K3" s="10" t="n"/>
      <c r="L3" s="10" t="n">
        <v>46272</v>
      </c>
      <c r="M3" s="8" t="inlineStr">
        <is>
          <t>3F 営業部フロア</t>
        </is>
      </c>
      <c r="N3" s="8" t="inlineStr">
        <is>
          <t>営業部 田中</t>
        </is>
      </c>
      <c r="O3" s="8" t="inlineStr">
        <is>
          <t>PC-0123</t>
        </is>
      </c>
      <c r="P3" s="8" t="inlineStr">
        <is>
          <t>移動中に落下し、液晶画面が割れて表示できない。データは無事。</t>
        </is>
      </c>
      <c r="Q3" s="8" t="inlineStr">
        <is>
          <t>9/14 修理発注。納品予定が遅れているため再確認
9/11 見積受領（45,000円）、上長承認
9/8 メーカーへ修理見積依頼</t>
        </is>
      </c>
      <c r="R3" s="7" t="inlineStr">
        <is>
          <t>不要</t>
        </is>
      </c>
      <c r="S3" s="12" t="n">
        <v>45000</v>
      </c>
      <c r="T3" s="8" t="inlineStr">
        <is>
          <t>※記入例（削除してOK）</t>
        </is>
      </c>
    </row>
    <row r="4" ht="18" customHeight="1">
      <c r="A4" s="6" t="inlineStr">
        <is>
          <t>2026-002</t>
        </is>
      </c>
      <c r="B4" s="7" t="inlineStr">
        <is>
          <t>未対応</t>
        </is>
      </c>
      <c r="C4" s="8" t="inlineStr">
        <is>
          <t>社用自転車</t>
        </is>
      </c>
      <c r="D4" s="9">
        <f>IF(OR(E4="",B4="完了"),"",IF(TODAY()&gt;E4,"超過",IF(TODAY()+3&gt;=E4,"間近","")))</f>
        <v/>
      </c>
      <c r="E4" s="10" t="n">
        <v>46287</v>
      </c>
      <c r="F4" s="7" t="inlineStr">
        <is>
          <t>中</t>
        </is>
      </c>
      <c r="G4" s="7" t="inlineStr">
        <is>
          <t>総務 佐藤</t>
        </is>
      </c>
      <c r="H4" s="7" t="inlineStr">
        <is>
          <t>盗難</t>
        </is>
      </c>
      <c r="I4" s="10" t="n">
        <v>46283</v>
      </c>
      <c r="J4" s="11">
        <f>IF(I4="","",IF(K4&lt;&gt;"",K4-I4,TODAY()-I4))</f>
        <v/>
      </c>
      <c r="K4" s="10" t="n"/>
      <c r="L4" s="10" t="n">
        <v>46282</v>
      </c>
      <c r="M4" s="8" t="inlineStr">
        <is>
          <t>本社 駐輪場</t>
        </is>
      </c>
      <c r="N4" s="8" t="inlineStr">
        <is>
          <t>総務部 鈴木</t>
        </is>
      </c>
      <c r="O4" s="8" t="inlineStr">
        <is>
          <t>BK-002</t>
        </is>
      </c>
      <c r="P4" s="8" t="inlineStr">
        <is>
          <t>夜間に施錠して駐輪、翌朝出社時になくなっていた。防犯カメラ確認中。</t>
        </is>
      </c>
      <c r="Q4" s="8" t="inlineStr">
        <is>
          <t>9/18 上長へ報告済。警察への被害届は未提出。</t>
        </is>
      </c>
      <c r="R4" s="7" t="inlineStr">
        <is>
          <t>未</t>
        </is>
      </c>
      <c r="S4" s="12" t="n"/>
      <c r="T4" s="8" t="inlineStr">
        <is>
          <t>※記入例（削除してOK）</t>
        </is>
      </c>
    </row>
    <row r="5" ht="18" customHeight="1">
      <c r="A5" s="6" t="inlineStr">
        <is>
          <t>2026-003</t>
        </is>
      </c>
      <c r="B5" s="7" t="inlineStr">
        <is>
          <t>完了</t>
        </is>
      </c>
      <c r="C5" s="8" t="inlineStr">
        <is>
          <t>複合機（2F コピーコーナー）</t>
        </is>
      </c>
      <c r="D5" s="9">
        <f>IF(OR(E5="",B5="完了"),"",IF(TODAY()&gt;E5,"超過",IF(TODAY()+3&gt;=E5,"間近","")))</f>
        <v/>
      </c>
      <c r="E5" s="10" t="n">
        <v>46267</v>
      </c>
      <c r="F5" s="7" t="inlineStr">
        <is>
          <t>中</t>
        </is>
      </c>
      <c r="G5" s="7" t="inlineStr">
        <is>
          <t>総務 山田</t>
        </is>
      </c>
      <c r="H5" s="7" t="inlineStr">
        <is>
          <t>故障</t>
        </is>
      </c>
      <c r="I5" s="10" t="n">
        <v>46260</v>
      </c>
      <c r="J5" s="11">
        <f>IF(I5="","",IF(K5&lt;&gt;"",K5-I5,TODAY()-I5))</f>
        <v/>
      </c>
      <c r="K5" s="10" t="n">
        <v>46262</v>
      </c>
      <c r="L5" s="10" t="n">
        <v>46260</v>
      </c>
      <c r="M5" s="8" t="inlineStr">
        <is>
          <t>2F コピーコーナー</t>
        </is>
      </c>
      <c r="N5" s="8" t="inlineStr">
        <is>
          <t>経理部 高橋</t>
        </is>
      </c>
      <c r="O5" s="8" t="inlineStr">
        <is>
          <t>MFP-02</t>
        </is>
      </c>
      <c r="P5" s="8" t="inlineStr">
        <is>
          <t>紙詰まりが頻発し、エラー表示が消えない。</t>
        </is>
      </c>
      <c r="Q5" s="8" t="inlineStr">
        <is>
          <t>8/28 訪問修理（給紙ローラー交換）、動作確認済
8/26 保守業者へ連絡</t>
        </is>
      </c>
      <c r="R5" s="7" t="inlineStr">
        <is>
          <t>不要</t>
        </is>
      </c>
      <c r="S5" s="12" t="n">
        <v>0</v>
      </c>
      <c r="T5" s="8" t="inlineStr">
        <is>
          <t>※記入例（削除してOK）保守契約内のため費用0円</t>
        </is>
      </c>
    </row>
    <row r="6" ht="18" customHeight="1">
      <c r="A6" s="6" t="n"/>
      <c r="B6" s="7" t="n"/>
      <c r="C6" s="8" t="n"/>
      <c r="D6" s="9">
        <f>IF(OR(E6="",B6="完了"),"",IF(TODAY()&gt;E6,"超過",IF(TODAY()+3&gt;=E6,"間近","")))</f>
        <v/>
      </c>
      <c r="E6" s="10" t="n"/>
      <c r="F6" s="7" t="n"/>
      <c r="G6" s="7" t="n"/>
      <c r="H6" s="7" t="n"/>
      <c r="I6" s="10" t="n"/>
      <c r="J6" s="11">
        <f>IF(I6="","",IF(K6&lt;&gt;"",K6-I6,TODAY()-I6))</f>
        <v/>
      </c>
      <c r="K6" s="10" t="n"/>
      <c r="L6" s="10" t="n"/>
      <c r="M6" s="8" t="n"/>
      <c r="N6" s="8" t="n"/>
      <c r="O6" s="8" t="n"/>
      <c r="P6" s="8" t="n"/>
      <c r="Q6" s="8" t="n"/>
      <c r="R6" s="7" t="n"/>
      <c r="S6" s="12" t="n"/>
      <c r="T6" s="8" t="n"/>
    </row>
    <row r="7" ht="18" customHeight="1">
      <c r="A7" s="6" t="n"/>
      <c r="B7" s="7" t="n"/>
      <c r="C7" s="8" t="n"/>
      <c r="D7" s="9">
        <f>IF(OR(E7="",B7="完了"),"",IF(TODAY()&gt;E7,"超過",IF(TODAY()+3&gt;=E7,"間近","")))</f>
        <v/>
      </c>
      <c r="E7" s="10" t="n"/>
      <c r="F7" s="7" t="n"/>
      <c r="G7" s="7" t="n"/>
      <c r="H7" s="7" t="n"/>
      <c r="I7" s="10" t="n"/>
      <c r="J7" s="11">
        <f>IF(I7="","",IF(K7&lt;&gt;"",K7-I7,TODAY()-I7))</f>
        <v/>
      </c>
      <c r="K7" s="10" t="n"/>
      <c r="L7" s="10" t="n"/>
      <c r="M7" s="8" t="n"/>
      <c r="N7" s="8" t="n"/>
      <c r="O7" s="8" t="n"/>
      <c r="P7" s="8" t="n"/>
      <c r="Q7" s="8" t="n"/>
      <c r="R7" s="7" t="n"/>
      <c r="S7" s="12" t="n"/>
      <c r="T7" s="8" t="n"/>
    </row>
    <row r="8" ht="18" customHeight="1">
      <c r="A8" s="6" t="n"/>
      <c r="B8" s="7" t="n"/>
      <c r="C8" s="8" t="n"/>
      <c r="D8" s="9">
        <f>IF(OR(E8="",B8="完了"),"",IF(TODAY()&gt;E8,"超過",IF(TODAY()+3&gt;=E8,"間近","")))</f>
        <v/>
      </c>
      <c r="E8" s="10" t="n"/>
      <c r="F8" s="7" t="n"/>
      <c r="G8" s="7" t="n"/>
      <c r="H8" s="7" t="n"/>
      <c r="I8" s="10" t="n"/>
      <c r="J8" s="11">
        <f>IF(I8="","",IF(K8&lt;&gt;"",K8-I8,TODAY()-I8))</f>
        <v/>
      </c>
      <c r="K8" s="10" t="n"/>
      <c r="L8" s="10" t="n"/>
      <c r="M8" s="8" t="n"/>
      <c r="N8" s="8" t="n"/>
      <c r="O8" s="8" t="n"/>
      <c r="P8" s="8" t="n"/>
      <c r="Q8" s="8" t="n"/>
      <c r="R8" s="7" t="n"/>
      <c r="S8" s="12" t="n"/>
      <c r="T8" s="8" t="n"/>
    </row>
    <row r="9" ht="18" customHeight="1">
      <c r="A9" s="6" t="n"/>
      <c r="B9" s="7" t="n"/>
      <c r="C9" s="8" t="n"/>
      <c r="D9" s="9">
        <f>IF(OR(E9="",B9="完了"),"",IF(TODAY()&gt;E9,"超過",IF(TODAY()+3&gt;=E9,"間近","")))</f>
        <v/>
      </c>
      <c r="E9" s="10" t="n"/>
      <c r="F9" s="7" t="n"/>
      <c r="G9" s="7" t="n"/>
      <c r="H9" s="7" t="n"/>
      <c r="I9" s="10" t="n"/>
      <c r="J9" s="11">
        <f>IF(I9="","",IF(K9&lt;&gt;"",K9-I9,TODAY()-I9))</f>
        <v/>
      </c>
      <c r="K9" s="10" t="n"/>
      <c r="L9" s="10" t="n"/>
      <c r="M9" s="8" t="n"/>
      <c r="N9" s="8" t="n"/>
      <c r="O9" s="8" t="n"/>
      <c r="P9" s="8" t="n"/>
      <c r="Q9" s="8" t="n"/>
      <c r="R9" s="7" t="n"/>
      <c r="S9" s="12" t="n"/>
      <c r="T9" s="8" t="n"/>
    </row>
    <row r="10" ht="18" customHeight="1">
      <c r="A10" s="6" t="n"/>
      <c r="B10" s="7" t="n"/>
      <c r="C10" s="8" t="n"/>
      <c r="D10" s="9">
        <f>IF(OR(E10="",B10="完了"),"",IF(TODAY()&gt;E10,"超過",IF(TODAY()+3&gt;=E10,"間近","")))</f>
        <v/>
      </c>
      <c r="E10" s="10" t="n"/>
      <c r="F10" s="7" t="n"/>
      <c r="G10" s="7" t="n"/>
      <c r="H10" s="7" t="n"/>
      <c r="I10" s="10" t="n"/>
      <c r="J10" s="11">
        <f>IF(I10="","",IF(K10&lt;&gt;"",K10-I10,TODAY()-I10))</f>
        <v/>
      </c>
      <c r="K10" s="10" t="n"/>
      <c r="L10" s="10" t="n"/>
      <c r="M10" s="8" t="n"/>
      <c r="N10" s="8" t="n"/>
      <c r="O10" s="8" t="n"/>
      <c r="P10" s="8" t="n"/>
      <c r="Q10" s="8" t="n"/>
      <c r="R10" s="7" t="n"/>
      <c r="S10" s="12" t="n"/>
      <c r="T10" s="8" t="n"/>
    </row>
    <row r="11" ht="18" customHeight="1">
      <c r="A11" s="6" t="n"/>
      <c r="B11" s="7" t="n"/>
      <c r="C11" s="8" t="n"/>
      <c r="D11" s="9">
        <f>IF(OR(E11="",B11="完了"),"",IF(TODAY()&gt;E11,"超過",IF(TODAY()+3&gt;=E11,"間近","")))</f>
        <v/>
      </c>
      <c r="E11" s="10" t="n"/>
      <c r="F11" s="7" t="n"/>
      <c r="G11" s="7" t="n"/>
      <c r="H11" s="7" t="n"/>
      <c r="I11" s="10" t="n"/>
      <c r="J11" s="11">
        <f>IF(I11="","",IF(K11&lt;&gt;"",K11-I11,TODAY()-I11))</f>
        <v/>
      </c>
      <c r="K11" s="10" t="n"/>
      <c r="L11" s="10" t="n"/>
      <c r="M11" s="8" t="n"/>
      <c r="N11" s="8" t="n"/>
      <c r="O11" s="8" t="n"/>
      <c r="P11" s="8" t="n"/>
      <c r="Q11" s="8" t="n"/>
      <c r="R11" s="7" t="n"/>
      <c r="S11" s="12" t="n"/>
      <c r="T11" s="8" t="n"/>
    </row>
    <row r="12" ht="18" customHeight="1">
      <c r="A12" s="6" t="n"/>
      <c r="B12" s="7" t="n"/>
      <c r="C12" s="8" t="n"/>
      <c r="D12" s="9">
        <f>IF(OR(E12="",B12="完了"),"",IF(TODAY()&gt;E12,"超過",IF(TODAY()+3&gt;=E12,"間近","")))</f>
        <v/>
      </c>
      <c r="E12" s="10" t="n"/>
      <c r="F12" s="7" t="n"/>
      <c r="G12" s="7" t="n"/>
      <c r="H12" s="7" t="n"/>
      <c r="I12" s="10" t="n"/>
      <c r="J12" s="11">
        <f>IF(I12="","",IF(K12&lt;&gt;"",K12-I12,TODAY()-I12))</f>
        <v/>
      </c>
      <c r="K12" s="10" t="n"/>
      <c r="L12" s="10" t="n"/>
      <c r="M12" s="8" t="n"/>
      <c r="N12" s="8" t="n"/>
      <c r="O12" s="8" t="n"/>
      <c r="P12" s="8" t="n"/>
      <c r="Q12" s="8" t="n"/>
      <c r="R12" s="7" t="n"/>
      <c r="S12" s="12" t="n"/>
      <c r="T12" s="8" t="n"/>
    </row>
    <row r="13" ht="18" customHeight="1">
      <c r="A13" s="6" t="n"/>
      <c r="B13" s="7" t="n"/>
      <c r="C13" s="8" t="n"/>
      <c r="D13" s="9">
        <f>IF(OR(E13="",B13="完了"),"",IF(TODAY()&gt;E13,"超過",IF(TODAY()+3&gt;=E13,"間近","")))</f>
        <v/>
      </c>
      <c r="E13" s="10" t="n"/>
      <c r="F13" s="7" t="n"/>
      <c r="G13" s="7" t="n"/>
      <c r="H13" s="7" t="n"/>
      <c r="I13" s="10" t="n"/>
      <c r="J13" s="11">
        <f>IF(I13="","",IF(K13&lt;&gt;"",K13-I13,TODAY()-I13))</f>
        <v/>
      </c>
      <c r="K13" s="10" t="n"/>
      <c r="L13" s="10" t="n"/>
      <c r="M13" s="8" t="n"/>
      <c r="N13" s="8" t="n"/>
      <c r="O13" s="8" t="n"/>
      <c r="P13" s="8" t="n"/>
      <c r="Q13" s="8" t="n"/>
      <c r="R13" s="7" t="n"/>
      <c r="S13" s="12" t="n"/>
      <c r="T13" s="8" t="n"/>
    </row>
    <row r="14" ht="18" customHeight="1">
      <c r="A14" s="6" t="n"/>
      <c r="B14" s="7" t="n"/>
      <c r="C14" s="8" t="n"/>
      <c r="D14" s="9">
        <f>IF(OR(E14="",B14="完了"),"",IF(TODAY()&gt;E14,"超過",IF(TODAY()+3&gt;=E14,"間近","")))</f>
        <v/>
      </c>
      <c r="E14" s="10" t="n"/>
      <c r="F14" s="7" t="n"/>
      <c r="G14" s="7" t="n"/>
      <c r="H14" s="7" t="n"/>
      <c r="I14" s="10" t="n"/>
      <c r="J14" s="11">
        <f>IF(I14="","",IF(K14&lt;&gt;"",K14-I14,TODAY()-I14))</f>
        <v/>
      </c>
      <c r="K14" s="10" t="n"/>
      <c r="L14" s="10" t="n"/>
      <c r="M14" s="8" t="n"/>
      <c r="N14" s="8" t="n"/>
      <c r="O14" s="8" t="n"/>
      <c r="P14" s="8" t="n"/>
      <c r="Q14" s="8" t="n"/>
      <c r="R14" s="7" t="n"/>
      <c r="S14" s="12" t="n"/>
      <c r="T14" s="8" t="n"/>
    </row>
    <row r="15" ht="18" customHeight="1">
      <c r="A15" s="6" t="n"/>
      <c r="B15" s="7" t="n"/>
      <c r="C15" s="8" t="n"/>
      <c r="D15" s="9">
        <f>IF(OR(E15="",B15="完了"),"",IF(TODAY()&gt;E15,"超過",IF(TODAY()+3&gt;=E15,"間近","")))</f>
        <v/>
      </c>
      <c r="E15" s="10" t="n"/>
      <c r="F15" s="7" t="n"/>
      <c r="G15" s="7" t="n"/>
      <c r="H15" s="7" t="n"/>
      <c r="I15" s="10" t="n"/>
      <c r="J15" s="11">
        <f>IF(I15="","",IF(K15&lt;&gt;"",K15-I15,TODAY()-I15))</f>
        <v/>
      </c>
      <c r="K15" s="10" t="n"/>
      <c r="L15" s="10" t="n"/>
      <c r="M15" s="8" t="n"/>
      <c r="N15" s="8" t="n"/>
      <c r="O15" s="8" t="n"/>
      <c r="P15" s="8" t="n"/>
      <c r="Q15" s="8" t="n"/>
      <c r="R15" s="7" t="n"/>
      <c r="S15" s="12" t="n"/>
      <c r="T15" s="8" t="n"/>
    </row>
    <row r="16" ht="18" customHeight="1">
      <c r="A16" s="6" t="n"/>
      <c r="B16" s="7" t="n"/>
      <c r="C16" s="8" t="n"/>
      <c r="D16" s="9">
        <f>IF(OR(E16="",B16="完了"),"",IF(TODAY()&gt;E16,"超過",IF(TODAY()+3&gt;=E16,"間近","")))</f>
        <v/>
      </c>
      <c r="E16" s="10" t="n"/>
      <c r="F16" s="7" t="n"/>
      <c r="G16" s="7" t="n"/>
      <c r="H16" s="7" t="n"/>
      <c r="I16" s="10" t="n"/>
      <c r="J16" s="11">
        <f>IF(I16="","",IF(K16&lt;&gt;"",K16-I16,TODAY()-I16))</f>
        <v/>
      </c>
      <c r="K16" s="10" t="n"/>
      <c r="L16" s="10" t="n"/>
      <c r="M16" s="8" t="n"/>
      <c r="N16" s="8" t="n"/>
      <c r="O16" s="8" t="n"/>
      <c r="P16" s="8" t="n"/>
      <c r="Q16" s="8" t="n"/>
      <c r="R16" s="7" t="n"/>
      <c r="S16" s="12" t="n"/>
      <c r="T16" s="8" t="n"/>
    </row>
    <row r="17" ht="18" customHeight="1">
      <c r="A17" s="6" t="n"/>
      <c r="B17" s="7" t="n"/>
      <c r="C17" s="8" t="n"/>
      <c r="D17" s="9">
        <f>IF(OR(E17="",B17="完了"),"",IF(TODAY()&gt;E17,"超過",IF(TODAY()+3&gt;=E17,"間近","")))</f>
        <v/>
      </c>
      <c r="E17" s="10" t="n"/>
      <c r="F17" s="7" t="n"/>
      <c r="G17" s="7" t="n"/>
      <c r="H17" s="7" t="n"/>
      <c r="I17" s="10" t="n"/>
      <c r="J17" s="11">
        <f>IF(I17="","",IF(K17&lt;&gt;"",K17-I17,TODAY()-I17))</f>
        <v/>
      </c>
      <c r="K17" s="10" t="n"/>
      <c r="L17" s="10" t="n"/>
      <c r="M17" s="8" t="n"/>
      <c r="N17" s="8" t="n"/>
      <c r="O17" s="8" t="n"/>
      <c r="P17" s="8" t="n"/>
      <c r="Q17" s="8" t="n"/>
      <c r="R17" s="7" t="n"/>
      <c r="S17" s="12" t="n"/>
      <c r="T17" s="8" t="n"/>
    </row>
    <row r="18" ht="18" customHeight="1">
      <c r="A18" s="6" t="n"/>
      <c r="B18" s="7" t="n"/>
      <c r="C18" s="8" t="n"/>
      <c r="D18" s="9">
        <f>IF(OR(E18="",B18="完了"),"",IF(TODAY()&gt;E18,"超過",IF(TODAY()+3&gt;=E18,"間近","")))</f>
        <v/>
      </c>
      <c r="E18" s="10" t="n"/>
      <c r="F18" s="7" t="n"/>
      <c r="G18" s="7" t="n"/>
      <c r="H18" s="7" t="n"/>
      <c r="I18" s="10" t="n"/>
      <c r="J18" s="11">
        <f>IF(I18="","",IF(K18&lt;&gt;"",K18-I18,TODAY()-I18))</f>
        <v/>
      </c>
      <c r="K18" s="10" t="n"/>
      <c r="L18" s="10" t="n"/>
      <c r="M18" s="8" t="n"/>
      <c r="N18" s="8" t="n"/>
      <c r="O18" s="8" t="n"/>
      <c r="P18" s="8" t="n"/>
      <c r="Q18" s="8" t="n"/>
      <c r="R18" s="7" t="n"/>
      <c r="S18" s="12" t="n"/>
      <c r="T18" s="8" t="n"/>
    </row>
    <row r="19" ht="18" customHeight="1">
      <c r="A19" s="6" t="n"/>
      <c r="B19" s="7" t="n"/>
      <c r="C19" s="8" t="n"/>
      <c r="D19" s="9">
        <f>IF(OR(E19="",B19="完了"),"",IF(TODAY()&gt;E19,"超過",IF(TODAY()+3&gt;=E19,"間近","")))</f>
        <v/>
      </c>
      <c r="E19" s="10" t="n"/>
      <c r="F19" s="7" t="n"/>
      <c r="G19" s="7" t="n"/>
      <c r="H19" s="7" t="n"/>
      <c r="I19" s="10" t="n"/>
      <c r="J19" s="11">
        <f>IF(I19="","",IF(K19&lt;&gt;"",K19-I19,TODAY()-I19))</f>
        <v/>
      </c>
      <c r="K19" s="10" t="n"/>
      <c r="L19" s="10" t="n"/>
      <c r="M19" s="8" t="n"/>
      <c r="N19" s="8" t="n"/>
      <c r="O19" s="8" t="n"/>
      <c r="P19" s="8" t="n"/>
      <c r="Q19" s="8" t="n"/>
      <c r="R19" s="7" t="n"/>
      <c r="S19" s="12" t="n"/>
      <c r="T19" s="8" t="n"/>
    </row>
    <row r="20" ht="18" customHeight="1">
      <c r="A20" s="6" t="n"/>
      <c r="B20" s="7" t="n"/>
      <c r="C20" s="8" t="n"/>
      <c r="D20" s="9">
        <f>IF(OR(E20="",B20="完了"),"",IF(TODAY()&gt;E20,"超過",IF(TODAY()+3&gt;=E20,"間近","")))</f>
        <v/>
      </c>
      <c r="E20" s="10" t="n"/>
      <c r="F20" s="7" t="n"/>
      <c r="G20" s="7" t="n"/>
      <c r="H20" s="7" t="n"/>
      <c r="I20" s="10" t="n"/>
      <c r="J20" s="11">
        <f>IF(I20="","",IF(K20&lt;&gt;"",K20-I20,TODAY()-I20))</f>
        <v/>
      </c>
      <c r="K20" s="10" t="n"/>
      <c r="L20" s="10" t="n"/>
      <c r="M20" s="8" t="n"/>
      <c r="N20" s="8" t="n"/>
      <c r="O20" s="8" t="n"/>
      <c r="P20" s="8" t="n"/>
      <c r="Q20" s="8" t="n"/>
      <c r="R20" s="7" t="n"/>
      <c r="S20" s="12" t="n"/>
      <c r="T20" s="8" t="n"/>
    </row>
    <row r="21" ht="18" customHeight="1">
      <c r="A21" s="6" t="n"/>
      <c r="B21" s="7" t="n"/>
      <c r="C21" s="8" t="n"/>
      <c r="D21" s="9">
        <f>IF(OR(E21="",B21="完了"),"",IF(TODAY()&gt;E21,"超過",IF(TODAY()+3&gt;=E21,"間近","")))</f>
        <v/>
      </c>
      <c r="E21" s="10" t="n"/>
      <c r="F21" s="7" t="n"/>
      <c r="G21" s="7" t="n"/>
      <c r="H21" s="7" t="n"/>
      <c r="I21" s="10" t="n"/>
      <c r="J21" s="11">
        <f>IF(I21="","",IF(K21&lt;&gt;"",K21-I21,TODAY()-I21))</f>
        <v/>
      </c>
      <c r="K21" s="10" t="n"/>
      <c r="L21" s="10" t="n"/>
      <c r="M21" s="8" t="n"/>
      <c r="N21" s="8" t="n"/>
      <c r="O21" s="8" t="n"/>
      <c r="P21" s="8" t="n"/>
      <c r="Q21" s="8" t="n"/>
      <c r="R21" s="7" t="n"/>
      <c r="S21" s="12" t="n"/>
      <c r="T21" s="8" t="n"/>
    </row>
    <row r="22" ht="18" customHeight="1">
      <c r="A22" s="6" t="n"/>
      <c r="B22" s="7" t="n"/>
      <c r="C22" s="8" t="n"/>
      <c r="D22" s="9">
        <f>IF(OR(E22="",B22="完了"),"",IF(TODAY()&gt;E22,"超過",IF(TODAY()+3&gt;=E22,"間近","")))</f>
        <v/>
      </c>
      <c r="E22" s="10" t="n"/>
      <c r="F22" s="7" t="n"/>
      <c r="G22" s="7" t="n"/>
      <c r="H22" s="7" t="n"/>
      <c r="I22" s="10" t="n"/>
      <c r="J22" s="11">
        <f>IF(I22="","",IF(K22&lt;&gt;"",K22-I22,TODAY()-I22))</f>
        <v/>
      </c>
      <c r="K22" s="10" t="n"/>
      <c r="L22" s="10" t="n"/>
      <c r="M22" s="8" t="n"/>
      <c r="N22" s="8" t="n"/>
      <c r="O22" s="8" t="n"/>
      <c r="P22" s="8" t="n"/>
      <c r="Q22" s="8" t="n"/>
      <c r="R22" s="7" t="n"/>
      <c r="S22" s="12" t="n"/>
      <c r="T22" s="8" t="n"/>
    </row>
    <row r="23" ht="18" customHeight="1">
      <c r="A23" s="6" t="n"/>
      <c r="B23" s="7" t="n"/>
      <c r="C23" s="8" t="n"/>
      <c r="D23" s="9">
        <f>IF(OR(E23="",B23="完了"),"",IF(TODAY()&gt;E23,"超過",IF(TODAY()+3&gt;=E23,"間近","")))</f>
        <v/>
      </c>
      <c r="E23" s="10" t="n"/>
      <c r="F23" s="7" t="n"/>
      <c r="G23" s="7" t="n"/>
      <c r="H23" s="7" t="n"/>
      <c r="I23" s="10" t="n"/>
      <c r="J23" s="11">
        <f>IF(I23="","",IF(K23&lt;&gt;"",K23-I23,TODAY()-I23))</f>
        <v/>
      </c>
      <c r="K23" s="10" t="n"/>
      <c r="L23" s="10" t="n"/>
      <c r="M23" s="8" t="n"/>
      <c r="N23" s="8" t="n"/>
      <c r="O23" s="8" t="n"/>
      <c r="P23" s="8" t="n"/>
      <c r="Q23" s="8" t="n"/>
      <c r="R23" s="7" t="n"/>
      <c r="S23" s="12" t="n"/>
      <c r="T23" s="8" t="n"/>
    </row>
    <row r="24" ht="18" customHeight="1">
      <c r="A24" s="6" t="n"/>
      <c r="B24" s="7" t="n"/>
      <c r="C24" s="8" t="n"/>
      <c r="D24" s="9">
        <f>IF(OR(E24="",B24="完了"),"",IF(TODAY()&gt;E24,"超過",IF(TODAY()+3&gt;=E24,"間近","")))</f>
        <v/>
      </c>
      <c r="E24" s="10" t="n"/>
      <c r="F24" s="7" t="n"/>
      <c r="G24" s="7" t="n"/>
      <c r="H24" s="7" t="n"/>
      <c r="I24" s="10" t="n"/>
      <c r="J24" s="11">
        <f>IF(I24="","",IF(K24&lt;&gt;"",K24-I24,TODAY()-I24))</f>
        <v/>
      </c>
      <c r="K24" s="10" t="n"/>
      <c r="L24" s="10" t="n"/>
      <c r="M24" s="8" t="n"/>
      <c r="N24" s="8" t="n"/>
      <c r="O24" s="8" t="n"/>
      <c r="P24" s="8" t="n"/>
      <c r="Q24" s="8" t="n"/>
      <c r="R24" s="7" t="n"/>
      <c r="S24" s="12" t="n"/>
      <c r="T24" s="8" t="n"/>
    </row>
    <row r="25" ht="18" customHeight="1">
      <c r="A25" s="6" t="n"/>
      <c r="B25" s="7" t="n"/>
      <c r="C25" s="8" t="n"/>
      <c r="D25" s="9">
        <f>IF(OR(E25="",B25="完了"),"",IF(TODAY()&gt;E25,"超過",IF(TODAY()+3&gt;=E25,"間近","")))</f>
        <v/>
      </c>
      <c r="E25" s="10" t="n"/>
      <c r="F25" s="7" t="n"/>
      <c r="G25" s="7" t="n"/>
      <c r="H25" s="7" t="n"/>
      <c r="I25" s="10" t="n"/>
      <c r="J25" s="11">
        <f>IF(I25="","",IF(K25&lt;&gt;"",K25-I25,TODAY()-I25))</f>
        <v/>
      </c>
      <c r="K25" s="10" t="n"/>
      <c r="L25" s="10" t="n"/>
      <c r="M25" s="8" t="n"/>
      <c r="N25" s="8" t="n"/>
      <c r="O25" s="8" t="n"/>
      <c r="P25" s="8" t="n"/>
      <c r="Q25" s="8" t="n"/>
      <c r="R25" s="7" t="n"/>
      <c r="S25" s="12" t="n"/>
      <c r="T25" s="8" t="n"/>
    </row>
    <row r="26" ht="18" customHeight="1">
      <c r="A26" s="6" t="n"/>
      <c r="B26" s="7" t="n"/>
      <c r="C26" s="8" t="n"/>
      <c r="D26" s="9">
        <f>IF(OR(E26="",B26="完了"),"",IF(TODAY()&gt;E26,"超過",IF(TODAY()+3&gt;=E26,"間近","")))</f>
        <v/>
      </c>
      <c r="E26" s="10" t="n"/>
      <c r="F26" s="7" t="n"/>
      <c r="G26" s="7" t="n"/>
      <c r="H26" s="7" t="n"/>
      <c r="I26" s="10" t="n"/>
      <c r="J26" s="11">
        <f>IF(I26="","",IF(K26&lt;&gt;"",K26-I26,TODAY()-I26))</f>
        <v/>
      </c>
      <c r="K26" s="10" t="n"/>
      <c r="L26" s="10" t="n"/>
      <c r="M26" s="8" t="n"/>
      <c r="N26" s="8" t="n"/>
      <c r="O26" s="8" t="n"/>
      <c r="P26" s="8" t="n"/>
      <c r="Q26" s="8" t="n"/>
      <c r="R26" s="7" t="n"/>
      <c r="S26" s="12" t="n"/>
      <c r="T26" s="8" t="n"/>
    </row>
    <row r="27" ht="18" customHeight="1">
      <c r="A27" s="6" t="n"/>
      <c r="B27" s="7" t="n"/>
      <c r="C27" s="8" t="n"/>
      <c r="D27" s="9">
        <f>IF(OR(E27="",B27="完了"),"",IF(TODAY()&gt;E27,"超過",IF(TODAY()+3&gt;=E27,"間近","")))</f>
        <v/>
      </c>
      <c r="E27" s="10" t="n"/>
      <c r="F27" s="7" t="n"/>
      <c r="G27" s="7" t="n"/>
      <c r="H27" s="7" t="n"/>
      <c r="I27" s="10" t="n"/>
      <c r="J27" s="11">
        <f>IF(I27="","",IF(K27&lt;&gt;"",K27-I27,TODAY()-I27))</f>
        <v/>
      </c>
      <c r="K27" s="10" t="n"/>
      <c r="L27" s="10" t="n"/>
      <c r="M27" s="8" t="n"/>
      <c r="N27" s="8" t="n"/>
      <c r="O27" s="8" t="n"/>
      <c r="P27" s="8" t="n"/>
      <c r="Q27" s="8" t="n"/>
      <c r="R27" s="7" t="n"/>
      <c r="S27" s="12" t="n"/>
      <c r="T27" s="8" t="n"/>
    </row>
    <row r="28" ht="18" customHeight="1">
      <c r="A28" s="6" t="n"/>
      <c r="B28" s="7" t="n"/>
      <c r="C28" s="8" t="n"/>
      <c r="D28" s="9">
        <f>IF(OR(E28="",B28="完了"),"",IF(TODAY()&gt;E28,"超過",IF(TODAY()+3&gt;=E28,"間近","")))</f>
        <v/>
      </c>
      <c r="E28" s="10" t="n"/>
      <c r="F28" s="7" t="n"/>
      <c r="G28" s="7" t="n"/>
      <c r="H28" s="7" t="n"/>
      <c r="I28" s="10" t="n"/>
      <c r="J28" s="11">
        <f>IF(I28="","",IF(K28&lt;&gt;"",K28-I28,TODAY()-I28))</f>
        <v/>
      </c>
      <c r="K28" s="10" t="n"/>
      <c r="L28" s="10" t="n"/>
      <c r="M28" s="8" t="n"/>
      <c r="N28" s="8" t="n"/>
      <c r="O28" s="8" t="n"/>
      <c r="P28" s="8" t="n"/>
      <c r="Q28" s="8" t="n"/>
      <c r="R28" s="7" t="n"/>
      <c r="S28" s="12" t="n"/>
      <c r="T28" s="8" t="n"/>
    </row>
    <row r="29" ht="18" customHeight="1">
      <c r="A29" s="6" t="n"/>
      <c r="B29" s="7" t="n"/>
      <c r="C29" s="8" t="n"/>
      <c r="D29" s="9">
        <f>IF(OR(E29="",B29="完了"),"",IF(TODAY()&gt;E29,"超過",IF(TODAY()+3&gt;=E29,"間近","")))</f>
        <v/>
      </c>
      <c r="E29" s="10" t="n"/>
      <c r="F29" s="7" t="n"/>
      <c r="G29" s="7" t="n"/>
      <c r="H29" s="7" t="n"/>
      <c r="I29" s="10" t="n"/>
      <c r="J29" s="11">
        <f>IF(I29="","",IF(K29&lt;&gt;"",K29-I29,TODAY()-I29))</f>
        <v/>
      </c>
      <c r="K29" s="10" t="n"/>
      <c r="L29" s="10" t="n"/>
      <c r="M29" s="8" t="n"/>
      <c r="N29" s="8" t="n"/>
      <c r="O29" s="8" t="n"/>
      <c r="P29" s="8" t="n"/>
      <c r="Q29" s="8" t="n"/>
      <c r="R29" s="7" t="n"/>
      <c r="S29" s="12" t="n"/>
      <c r="T29" s="8" t="n"/>
    </row>
    <row r="30" ht="18" customHeight="1">
      <c r="A30" s="6" t="n"/>
      <c r="B30" s="7" t="n"/>
      <c r="C30" s="8" t="n"/>
      <c r="D30" s="9">
        <f>IF(OR(E30="",B30="完了"),"",IF(TODAY()&gt;E30,"超過",IF(TODAY()+3&gt;=E30,"間近","")))</f>
        <v/>
      </c>
      <c r="E30" s="10" t="n"/>
      <c r="F30" s="7" t="n"/>
      <c r="G30" s="7" t="n"/>
      <c r="H30" s="7" t="n"/>
      <c r="I30" s="10" t="n"/>
      <c r="J30" s="11">
        <f>IF(I30="","",IF(K30&lt;&gt;"",K30-I30,TODAY()-I30))</f>
        <v/>
      </c>
      <c r="K30" s="10" t="n"/>
      <c r="L30" s="10" t="n"/>
      <c r="M30" s="8" t="n"/>
      <c r="N30" s="8" t="n"/>
      <c r="O30" s="8" t="n"/>
      <c r="P30" s="8" t="n"/>
      <c r="Q30" s="8" t="n"/>
      <c r="R30" s="7" t="n"/>
      <c r="S30" s="12" t="n"/>
      <c r="T30" s="8" t="n"/>
    </row>
    <row r="31" ht="18" customHeight="1">
      <c r="A31" s="6" t="n"/>
      <c r="B31" s="7" t="n"/>
      <c r="C31" s="8" t="n"/>
      <c r="D31" s="9">
        <f>IF(OR(E31="",B31="完了"),"",IF(TODAY()&gt;E31,"超過",IF(TODAY()+3&gt;=E31,"間近","")))</f>
        <v/>
      </c>
      <c r="E31" s="10" t="n"/>
      <c r="F31" s="7" t="n"/>
      <c r="G31" s="7" t="n"/>
      <c r="H31" s="7" t="n"/>
      <c r="I31" s="10" t="n"/>
      <c r="J31" s="11">
        <f>IF(I31="","",IF(K31&lt;&gt;"",K31-I31,TODAY()-I31))</f>
        <v/>
      </c>
      <c r="K31" s="10" t="n"/>
      <c r="L31" s="10" t="n"/>
      <c r="M31" s="8" t="n"/>
      <c r="N31" s="8" t="n"/>
      <c r="O31" s="8" t="n"/>
      <c r="P31" s="8" t="n"/>
      <c r="Q31" s="8" t="n"/>
      <c r="R31" s="7" t="n"/>
      <c r="S31" s="12" t="n"/>
      <c r="T31" s="8" t="n"/>
    </row>
    <row r="32" ht="18" customHeight="1">
      <c r="A32" s="6" t="n"/>
      <c r="B32" s="7" t="n"/>
      <c r="C32" s="8" t="n"/>
      <c r="D32" s="9">
        <f>IF(OR(E32="",B32="完了"),"",IF(TODAY()&gt;E32,"超過",IF(TODAY()+3&gt;=E32,"間近","")))</f>
        <v/>
      </c>
      <c r="E32" s="10" t="n"/>
      <c r="F32" s="7" t="n"/>
      <c r="G32" s="7" t="n"/>
      <c r="H32" s="7" t="n"/>
      <c r="I32" s="10" t="n"/>
      <c r="J32" s="11">
        <f>IF(I32="","",IF(K32&lt;&gt;"",K32-I32,TODAY()-I32))</f>
        <v/>
      </c>
      <c r="K32" s="10" t="n"/>
      <c r="L32" s="10" t="n"/>
      <c r="M32" s="8" t="n"/>
      <c r="N32" s="8" t="n"/>
      <c r="O32" s="8" t="n"/>
      <c r="P32" s="8" t="n"/>
      <c r="Q32" s="8" t="n"/>
      <c r="R32" s="7" t="n"/>
      <c r="S32" s="12" t="n"/>
      <c r="T32" s="8" t="n"/>
    </row>
    <row r="33" ht="18" customHeight="1">
      <c r="A33" s="6" t="n"/>
      <c r="B33" s="7" t="n"/>
      <c r="C33" s="8" t="n"/>
      <c r="D33" s="9">
        <f>IF(OR(E33="",B33="完了"),"",IF(TODAY()&gt;E33,"超過",IF(TODAY()+3&gt;=E33,"間近","")))</f>
        <v/>
      </c>
      <c r="E33" s="10" t="n"/>
      <c r="F33" s="7" t="n"/>
      <c r="G33" s="7" t="n"/>
      <c r="H33" s="7" t="n"/>
      <c r="I33" s="10" t="n"/>
      <c r="J33" s="11">
        <f>IF(I33="","",IF(K33&lt;&gt;"",K33-I33,TODAY()-I33))</f>
        <v/>
      </c>
      <c r="K33" s="10" t="n"/>
      <c r="L33" s="10" t="n"/>
      <c r="M33" s="8" t="n"/>
      <c r="N33" s="8" t="n"/>
      <c r="O33" s="8" t="n"/>
      <c r="P33" s="8" t="n"/>
      <c r="Q33" s="8" t="n"/>
      <c r="R33" s="7" t="n"/>
      <c r="S33" s="12" t="n"/>
      <c r="T33" s="8" t="n"/>
    </row>
    <row r="34" ht="18" customHeight="1">
      <c r="A34" s="6" t="n"/>
      <c r="B34" s="7" t="n"/>
      <c r="C34" s="8" t="n"/>
      <c r="D34" s="9">
        <f>IF(OR(E34="",B34="完了"),"",IF(TODAY()&gt;E34,"超過",IF(TODAY()+3&gt;=E34,"間近","")))</f>
        <v/>
      </c>
      <c r="E34" s="10" t="n"/>
      <c r="F34" s="7" t="n"/>
      <c r="G34" s="7" t="n"/>
      <c r="H34" s="7" t="n"/>
      <c r="I34" s="10" t="n"/>
      <c r="J34" s="11">
        <f>IF(I34="","",IF(K34&lt;&gt;"",K34-I34,TODAY()-I34))</f>
        <v/>
      </c>
      <c r="K34" s="10" t="n"/>
      <c r="L34" s="10" t="n"/>
      <c r="M34" s="8" t="n"/>
      <c r="N34" s="8" t="n"/>
      <c r="O34" s="8" t="n"/>
      <c r="P34" s="8" t="n"/>
      <c r="Q34" s="8" t="n"/>
      <c r="R34" s="7" t="n"/>
      <c r="S34" s="12" t="n"/>
      <c r="T34" s="8" t="n"/>
    </row>
    <row r="35" ht="18" customHeight="1">
      <c r="A35" s="6" t="n"/>
      <c r="B35" s="7" t="n"/>
      <c r="C35" s="8" t="n"/>
      <c r="D35" s="9">
        <f>IF(OR(E35="",B35="完了"),"",IF(TODAY()&gt;E35,"超過",IF(TODAY()+3&gt;=E35,"間近","")))</f>
        <v/>
      </c>
      <c r="E35" s="10" t="n"/>
      <c r="F35" s="7" t="n"/>
      <c r="G35" s="7" t="n"/>
      <c r="H35" s="7" t="n"/>
      <c r="I35" s="10" t="n"/>
      <c r="J35" s="11">
        <f>IF(I35="","",IF(K35&lt;&gt;"",K35-I35,TODAY()-I35))</f>
        <v/>
      </c>
      <c r="K35" s="10" t="n"/>
      <c r="L35" s="10" t="n"/>
      <c r="M35" s="8" t="n"/>
      <c r="N35" s="8" t="n"/>
      <c r="O35" s="8" t="n"/>
      <c r="P35" s="8" t="n"/>
      <c r="Q35" s="8" t="n"/>
      <c r="R35" s="7" t="n"/>
      <c r="S35" s="12" t="n"/>
      <c r="T35" s="8" t="n"/>
    </row>
    <row r="36" ht="18" customHeight="1">
      <c r="A36" s="6" t="n"/>
      <c r="B36" s="7" t="n"/>
      <c r="C36" s="8" t="n"/>
      <c r="D36" s="9">
        <f>IF(OR(E36="",B36="完了"),"",IF(TODAY()&gt;E36,"超過",IF(TODAY()+3&gt;=E36,"間近","")))</f>
        <v/>
      </c>
      <c r="E36" s="10" t="n"/>
      <c r="F36" s="7" t="n"/>
      <c r="G36" s="7" t="n"/>
      <c r="H36" s="7" t="n"/>
      <c r="I36" s="10" t="n"/>
      <c r="J36" s="11">
        <f>IF(I36="","",IF(K36&lt;&gt;"",K36-I36,TODAY()-I36))</f>
        <v/>
      </c>
      <c r="K36" s="10" t="n"/>
      <c r="L36" s="10" t="n"/>
      <c r="M36" s="8" t="n"/>
      <c r="N36" s="8" t="n"/>
      <c r="O36" s="8" t="n"/>
      <c r="P36" s="8" t="n"/>
      <c r="Q36" s="8" t="n"/>
      <c r="R36" s="7" t="n"/>
      <c r="S36" s="12" t="n"/>
      <c r="T36" s="8" t="n"/>
    </row>
    <row r="37" ht="18" customHeight="1">
      <c r="A37" s="6" t="n"/>
      <c r="B37" s="7" t="n"/>
      <c r="C37" s="8" t="n"/>
      <c r="D37" s="9">
        <f>IF(OR(E37="",B37="完了"),"",IF(TODAY()&gt;E37,"超過",IF(TODAY()+3&gt;=E37,"間近","")))</f>
        <v/>
      </c>
      <c r="E37" s="10" t="n"/>
      <c r="F37" s="7" t="n"/>
      <c r="G37" s="7" t="n"/>
      <c r="H37" s="7" t="n"/>
      <c r="I37" s="10" t="n"/>
      <c r="J37" s="11">
        <f>IF(I37="","",IF(K37&lt;&gt;"",K37-I37,TODAY()-I37))</f>
        <v/>
      </c>
      <c r="K37" s="10" t="n"/>
      <c r="L37" s="10" t="n"/>
      <c r="M37" s="8" t="n"/>
      <c r="N37" s="8" t="n"/>
      <c r="O37" s="8" t="n"/>
      <c r="P37" s="8" t="n"/>
      <c r="Q37" s="8" t="n"/>
      <c r="R37" s="7" t="n"/>
      <c r="S37" s="12" t="n"/>
      <c r="T37" s="8" t="n"/>
    </row>
    <row r="38" ht="18" customHeight="1">
      <c r="A38" s="6" t="n"/>
      <c r="B38" s="7" t="n"/>
      <c r="C38" s="8" t="n"/>
      <c r="D38" s="9">
        <f>IF(OR(E38="",B38="完了"),"",IF(TODAY()&gt;E38,"超過",IF(TODAY()+3&gt;=E38,"間近","")))</f>
        <v/>
      </c>
      <c r="E38" s="10" t="n"/>
      <c r="F38" s="7" t="n"/>
      <c r="G38" s="7" t="n"/>
      <c r="H38" s="7" t="n"/>
      <c r="I38" s="10" t="n"/>
      <c r="J38" s="11">
        <f>IF(I38="","",IF(K38&lt;&gt;"",K38-I38,TODAY()-I38))</f>
        <v/>
      </c>
      <c r="K38" s="10" t="n"/>
      <c r="L38" s="10" t="n"/>
      <c r="M38" s="8" t="n"/>
      <c r="N38" s="8" t="n"/>
      <c r="O38" s="8" t="n"/>
      <c r="P38" s="8" t="n"/>
      <c r="Q38" s="8" t="n"/>
      <c r="R38" s="7" t="n"/>
      <c r="S38" s="12" t="n"/>
      <c r="T38" s="8" t="n"/>
    </row>
    <row r="39" ht="18" customHeight="1">
      <c r="A39" s="6" t="n"/>
      <c r="B39" s="7" t="n"/>
      <c r="C39" s="8" t="n"/>
      <c r="D39" s="9">
        <f>IF(OR(E39="",B39="完了"),"",IF(TODAY()&gt;E39,"超過",IF(TODAY()+3&gt;=E39,"間近","")))</f>
        <v/>
      </c>
      <c r="E39" s="10" t="n"/>
      <c r="F39" s="7" t="n"/>
      <c r="G39" s="7" t="n"/>
      <c r="H39" s="7" t="n"/>
      <c r="I39" s="10" t="n"/>
      <c r="J39" s="11">
        <f>IF(I39="","",IF(K39&lt;&gt;"",K39-I39,TODAY()-I39))</f>
        <v/>
      </c>
      <c r="K39" s="10" t="n"/>
      <c r="L39" s="10" t="n"/>
      <c r="M39" s="8" t="n"/>
      <c r="N39" s="8" t="n"/>
      <c r="O39" s="8" t="n"/>
      <c r="P39" s="8" t="n"/>
      <c r="Q39" s="8" t="n"/>
      <c r="R39" s="7" t="n"/>
      <c r="S39" s="12" t="n"/>
      <c r="T39" s="8" t="n"/>
    </row>
    <row r="40" ht="18" customHeight="1">
      <c r="A40" s="6" t="n"/>
      <c r="B40" s="7" t="n"/>
      <c r="C40" s="8" t="n"/>
      <c r="D40" s="9">
        <f>IF(OR(E40="",B40="完了"),"",IF(TODAY()&gt;E40,"超過",IF(TODAY()+3&gt;=E40,"間近","")))</f>
        <v/>
      </c>
      <c r="E40" s="10" t="n"/>
      <c r="F40" s="7" t="n"/>
      <c r="G40" s="7" t="n"/>
      <c r="H40" s="7" t="n"/>
      <c r="I40" s="10" t="n"/>
      <c r="J40" s="11">
        <f>IF(I40="","",IF(K40&lt;&gt;"",K40-I40,TODAY()-I40))</f>
        <v/>
      </c>
      <c r="K40" s="10" t="n"/>
      <c r="L40" s="10" t="n"/>
      <c r="M40" s="8" t="n"/>
      <c r="N40" s="8" t="n"/>
      <c r="O40" s="8" t="n"/>
      <c r="P40" s="8" t="n"/>
      <c r="Q40" s="8" t="n"/>
      <c r="R40" s="7" t="n"/>
      <c r="S40" s="12" t="n"/>
      <c r="T40" s="8" t="n"/>
    </row>
    <row r="41" ht="18" customHeight="1">
      <c r="A41" s="6" t="n"/>
      <c r="B41" s="7" t="n"/>
      <c r="C41" s="8" t="n"/>
      <c r="D41" s="9">
        <f>IF(OR(E41="",B41="完了"),"",IF(TODAY()&gt;E41,"超過",IF(TODAY()+3&gt;=E41,"間近","")))</f>
        <v/>
      </c>
      <c r="E41" s="10" t="n"/>
      <c r="F41" s="7" t="n"/>
      <c r="G41" s="7" t="n"/>
      <c r="H41" s="7" t="n"/>
      <c r="I41" s="10" t="n"/>
      <c r="J41" s="11">
        <f>IF(I41="","",IF(K41&lt;&gt;"",K41-I41,TODAY()-I41))</f>
        <v/>
      </c>
      <c r="K41" s="10" t="n"/>
      <c r="L41" s="10" t="n"/>
      <c r="M41" s="8" t="n"/>
      <c r="N41" s="8" t="n"/>
      <c r="O41" s="8" t="n"/>
      <c r="P41" s="8" t="n"/>
      <c r="Q41" s="8" t="n"/>
      <c r="R41" s="7" t="n"/>
      <c r="S41" s="12" t="n"/>
      <c r="T41" s="8" t="n"/>
    </row>
    <row r="42" ht="18" customHeight="1">
      <c r="A42" s="6" t="n"/>
      <c r="B42" s="7" t="n"/>
      <c r="C42" s="8" t="n"/>
      <c r="D42" s="9">
        <f>IF(OR(E42="",B42="完了"),"",IF(TODAY()&gt;E42,"超過",IF(TODAY()+3&gt;=E42,"間近","")))</f>
        <v/>
      </c>
      <c r="E42" s="10" t="n"/>
      <c r="F42" s="7" t="n"/>
      <c r="G42" s="7" t="n"/>
      <c r="H42" s="7" t="n"/>
      <c r="I42" s="10" t="n"/>
      <c r="J42" s="11">
        <f>IF(I42="","",IF(K42&lt;&gt;"",K42-I42,TODAY()-I42))</f>
        <v/>
      </c>
      <c r="K42" s="10" t="n"/>
      <c r="L42" s="10" t="n"/>
      <c r="M42" s="8" t="n"/>
      <c r="N42" s="8" t="n"/>
      <c r="O42" s="8" t="n"/>
      <c r="P42" s="8" t="n"/>
      <c r="Q42" s="8" t="n"/>
      <c r="R42" s="7" t="n"/>
      <c r="S42" s="12" t="n"/>
      <c r="T42" s="8" t="n"/>
    </row>
    <row r="43" ht="18" customHeight="1">
      <c r="A43" s="6" t="n"/>
      <c r="B43" s="7" t="n"/>
      <c r="C43" s="8" t="n"/>
      <c r="D43" s="9">
        <f>IF(OR(E43="",B43="完了"),"",IF(TODAY()&gt;E43,"超過",IF(TODAY()+3&gt;=E43,"間近","")))</f>
        <v/>
      </c>
      <c r="E43" s="10" t="n"/>
      <c r="F43" s="7" t="n"/>
      <c r="G43" s="7" t="n"/>
      <c r="H43" s="7" t="n"/>
      <c r="I43" s="10" t="n"/>
      <c r="J43" s="11">
        <f>IF(I43="","",IF(K43&lt;&gt;"",K43-I43,TODAY()-I43))</f>
        <v/>
      </c>
      <c r="K43" s="10" t="n"/>
      <c r="L43" s="10" t="n"/>
      <c r="M43" s="8" t="n"/>
      <c r="N43" s="8" t="n"/>
      <c r="O43" s="8" t="n"/>
      <c r="P43" s="8" t="n"/>
      <c r="Q43" s="8" t="n"/>
      <c r="R43" s="7" t="n"/>
      <c r="S43" s="12" t="n"/>
      <c r="T43" s="8" t="n"/>
    </row>
    <row r="44" ht="18" customHeight="1">
      <c r="A44" s="6" t="n"/>
      <c r="B44" s="7" t="n"/>
      <c r="C44" s="8" t="n"/>
      <c r="D44" s="9">
        <f>IF(OR(E44="",B44="完了"),"",IF(TODAY()&gt;E44,"超過",IF(TODAY()+3&gt;=E44,"間近","")))</f>
        <v/>
      </c>
      <c r="E44" s="10" t="n"/>
      <c r="F44" s="7" t="n"/>
      <c r="G44" s="7" t="n"/>
      <c r="H44" s="7" t="n"/>
      <c r="I44" s="10" t="n"/>
      <c r="J44" s="11">
        <f>IF(I44="","",IF(K44&lt;&gt;"",K44-I44,TODAY()-I44))</f>
        <v/>
      </c>
      <c r="K44" s="10" t="n"/>
      <c r="L44" s="10" t="n"/>
      <c r="M44" s="8" t="n"/>
      <c r="N44" s="8" t="n"/>
      <c r="O44" s="8" t="n"/>
      <c r="P44" s="8" t="n"/>
      <c r="Q44" s="8" t="n"/>
      <c r="R44" s="7" t="n"/>
      <c r="S44" s="12" t="n"/>
      <c r="T44" s="8" t="n"/>
    </row>
    <row r="45" ht="18" customHeight="1">
      <c r="A45" s="6" t="n"/>
      <c r="B45" s="7" t="n"/>
      <c r="C45" s="8" t="n"/>
      <c r="D45" s="9">
        <f>IF(OR(E45="",B45="完了"),"",IF(TODAY()&gt;E45,"超過",IF(TODAY()+3&gt;=E45,"間近","")))</f>
        <v/>
      </c>
      <c r="E45" s="10" t="n"/>
      <c r="F45" s="7" t="n"/>
      <c r="G45" s="7" t="n"/>
      <c r="H45" s="7" t="n"/>
      <c r="I45" s="10" t="n"/>
      <c r="J45" s="11">
        <f>IF(I45="","",IF(K45&lt;&gt;"",K45-I45,TODAY()-I45))</f>
        <v/>
      </c>
      <c r="K45" s="10" t="n"/>
      <c r="L45" s="10" t="n"/>
      <c r="M45" s="8" t="n"/>
      <c r="N45" s="8" t="n"/>
      <c r="O45" s="8" t="n"/>
      <c r="P45" s="8" t="n"/>
      <c r="Q45" s="8" t="n"/>
      <c r="R45" s="7" t="n"/>
      <c r="S45" s="12" t="n"/>
      <c r="T45" s="8" t="n"/>
    </row>
    <row r="46" ht="18" customHeight="1">
      <c r="A46" s="6" t="n"/>
      <c r="B46" s="7" t="n"/>
      <c r="C46" s="8" t="n"/>
      <c r="D46" s="9">
        <f>IF(OR(E46="",B46="完了"),"",IF(TODAY()&gt;E46,"超過",IF(TODAY()+3&gt;=E46,"間近","")))</f>
        <v/>
      </c>
      <c r="E46" s="10" t="n"/>
      <c r="F46" s="7" t="n"/>
      <c r="G46" s="7" t="n"/>
      <c r="H46" s="7" t="n"/>
      <c r="I46" s="10" t="n"/>
      <c r="J46" s="11">
        <f>IF(I46="","",IF(K46&lt;&gt;"",K46-I46,TODAY()-I46))</f>
        <v/>
      </c>
      <c r="K46" s="10" t="n"/>
      <c r="L46" s="10" t="n"/>
      <c r="M46" s="8" t="n"/>
      <c r="N46" s="8" t="n"/>
      <c r="O46" s="8" t="n"/>
      <c r="P46" s="8" t="n"/>
      <c r="Q46" s="8" t="n"/>
      <c r="R46" s="7" t="n"/>
      <c r="S46" s="12" t="n"/>
      <c r="T46" s="8" t="n"/>
    </row>
    <row r="47" ht="18" customHeight="1">
      <c r="A47" s="6" t="n"/>
      <c r="B47" s="7" t="n"/>
      <c r="C47" s="8" t="n"/>
      <c r="D47" s="9">
        <f>IF(OR(E47="",B47="完了"),"",IF(TODAY()&gt;E47,"超過",IF(TODAY()+3&gt;=E47,"間近","")))</f>
        <v/>
      </c>
      <c r="E47" s="10" t="n"/>
      <c r="F47" s="7" t="n"/>
      <c r="G47" s="7" t="n"/>
      <c r="H47" s="7" t="n"/>
      <c r="I47" s="10" t="n"/>
      <c r="J47" s="11">
        <f>IF(I47="","",IF(K47&lt;&gt;"",K47-I47,TODAY()-I47))</f>
        <v/>
      </c>
      <c r="K47" s="10" t="n"/>
      <c r="L47" s="10" t="n"/>
      <c r="M47" s="8" t="n"/>
      <c r="N47" s="8" t="n"/>
      <c r="O47" s="8" t="n"/>
      <c r="P47" s="8" t="n"/>
      <c r="Q47" s="8" t="n"/>
      <c r="R47" s="7" t="n"/>
      <c r="S47" s="12" t="n"/>
      <c r="T47" s="8" t="n"/>
    </row>
    <row r="48" ht="18" customHeight="1">
      <c r="A48" s="6" t="n"/>
      <c r="B48" s="7" t="n"/>
      <c r="C48" s="8" t="n"/>
      <c r="D48" s="9">
        <f>IF(OR(E48="",B48="完了"),"",IF(TODAY()&gt;E48,"超過",IF(TODAY()+3&gt;=E48,"間近","")))</f>
        <v/>
      </c>
      <c r="E48" s="10" t="n"/>
      <c r="F48" s="7" t="n"/>
      <c r="G48" s="7" t="n"/>
      <c r="H48" s="7" t="n"/>
      <c r="I48" s="10" t="n"/>
      <c r="J48" s="11">
        <f>IF(I48="","",IF(K48&lt;&gt;"",K48-I48,TODAY()-I48))</f>
        <v/>
      </c>
      <c r="K48" s="10" t="n"/>
      <c r="L48" s="10" t="n"/>
      <c r="M48" s="8" t="n"/>
      <c r="N48" s="8" t="n"/>
      <c r="O48" s="8" t="n"/>
      <c r="P48" s="8" t="n"/>
      <c r="Q48" s="8" t="n"/>
      <c r="R48" s="7" t="n"/>
      <c r="S48" s="12" t="n"/>
      <c r="T48" s="8" t="n"/>
    </row>
    <row r="49" ht="18" customHeight="1">
      <c r="A49" s="6" t="n"/>
      <c r="B49" s="7" t="n"/>
      <c r="C49" s="8" t="n"/>
      <c r="D49" s="9">
        <f>IF(OR(E49="",B49="完了"),"",IF(TODAY()&gt;E49,"超過",IF(TODAY()+3&gt;=E49,"間近","")))</f>
        <v/>
      </c>
      <c r="E49" s="10" t="n"/>
      <c r="F49" s="7" t="n"/>
      <c r="G49" s="7" t="n"/>
      <c r="H49" s="7" t="n"/>
      <c r="I49" s="10" t="n"/>
      <c r="J49" s="11">
        <f>IF(I49="","",IF(K49&lt;&gt;"",K49-I49,TODAY()-I49))</f>
        <v/>
      </c>
      <c r="K49" s="10" t="n"/>
      <c r="L49" s="10" t="n"/>
      <c r="M49" s="8" t="n"/>
      <c r="N49" s="8" t="n"/>
      <c r="O49" s="8" t="n"/>
      <c r="P49" s="8" t="n"/>
      <c r="Q49" s="8" t="n"/>
      <c r="R49" s="7" t="n"/>
      <c r="S49" s="12" t="n"/>
      <c r="T49" s="8" t="n"/>
    </row>
    <row r="50" ht="18" customHeight="1">
      <c r="A50" s="6" t="n"/>
      <c r="B50" s="7" t="n"/>
      <c r="C50" s="8" t="n"/>
      <c r="D50" s="9">
        <f>IF(OR(E50="",B50="完了"),"",IF(TODAY()&gt;E50,"超過",IF(TODAY()+3&gt;=E50,"間近","")))</f>
        <v/>
      </c>
      <c r="E50" s="10" t="n"/>
      <c r="F50" s="7" t="n"/>
      <c r="G50" s="7" t="n"/>
      <c r="H50" s="7" t="n"/>
      <c r="I50" s="10" t="n"/>
      <c r="J50" s="11">
        <f>IF(I50="","",IF(K50&lt;&gt;"",K50-I50,TODAY()-I50))</f>
        <v/>
      </c>
      <c r="K50" s="10" t="n"/>
      <c r="L50" s="10" t="n"/>
      <c r="M50" s="8" t="n"/>
      <c r="N50" s="8" t="n"/>
      <c r="O50" s="8" t="n"/>
      <c r="P50" s="8" t="n"/>
      <c r="Q50" s="8" t="n"/>
      <c r="R50" s="7" t="n"/>
      <c r="S50" s="12" t="n"/>
      <c r="T50" s="8" t="n"/>
    </row>
    <row r="51" ht="18" customHeight="1">
      <c r="A51" s="6" t="n"/>
      <c r="B51" s="7" t="n"/>
      <c r="C51" s="8" t="n"/>
      <c r="D51" s="9">
        <f>IF(OR(E51="",B51="完了"),"",IF(TODAY()&gt;E51,"超過",IF(TODAY()+3&gt;=E51,"間近","")))</f>
        <v/>
      </c>
      <c r="E51" s="10" t="n"/>
      <c r="F51" s="7" t="n"/>
      <c r="G51" s="7" t="n"/>
      <c r="H51" s="7" t="n"/>
      <c r="I51" s="10" t="n"/>
      <c r="J51" s="11">
        <f>IF(I51="","",IF(K51&lt;&gt;"",K51-I51,TODAY()-I51))</f>
        <v/>
      </c>
      <c r="K51" s="10" t="n"/>
      <c r="L51" s="10" t="n"/>
      <c r="M51" s="8" t="n"/>
      <c r="N51" s="8" t="n"/>
      <c r="O51" s="8" t="n"/>
      <c r="P51" s="8" t="n"/>
      <c r="Q51" s="8" t="n"/>
      <c r="R51" s="7" t="n"/>
      <c r="S51" s="12" t="n"/>
      <c r="T51" s="8" t="n"/>
    </row>
    <row r="52" ht="18" customHeight="1">
      <c r="A52" s="6" t="n"/>
      <c r="B52" s="7" t="n"/>
      <c r="C52" s="8" t="n"/>
      <c r="D52" s="9">
        <f>IF(OR(E52="",B52="完了"),"",IF(TODAY()&gt;E52,"超過",IF(TODAY()+3&gt;=E52,"間近","")))</f>
        <v/>
      </c>
      <c r="E52" s="10" t="n"/>
      <c r="F52" s="7" t="n"/>
      <c r="G52" s="7" t="n"/>
      <c r="H52" s="7" t="n"/>
      <c r="I52" s="10" t="n"/>
      <c r="J52" s="11">
        <f>IF(I52="","",IF(K52&lt;&gt;"",K52-I52,TODAY()-I52))</f>
        <v/>
      </c>
      <c r="K52" s="10" t="n"/>
      <c r="L52" s="10" t="n"/>
      <c r="M52" s="8" t="n"/>
      <c r="N52" s="8" t="n"/>
      <c r="O52" s="8" t="n"/>
      <c r="P52" s="8" t="n"/>
      <c r="Q52" s="8" t="n"/>
      <c r="R52" s="7" t="n"/>
      <c r="S52" s="12" t="n"/>
      <c r="T52" s="8" t="n"/>
    </row>
    <row r="53" ht="18" customHeight="1">
      <c r="A53" s="6" t="n"/>
      <c r="B53" s="7" t="n"/>
      <c r="C53" s="8" t="n"/>
      <c r="D53" s="9">
        <f>IF(OR(E53="",B53="完了"),"",IF(TODAY()&gt;E53,"超過",IF(TODAY()+3&gt;=E53,"間近","")))</f>
        <v/>
      </c>
      <c r="E53" s="10" t="n"/>
      <c r="F53" s="7" t="n"/>
      <c r="G53" s="7" t="n"/>
      <c r="H53" s="7" t="n"/>
      <c r="I53" s="10" t="n"/>
      <c r="J53" s="11">
        <f>IF(I53="","",IF(K53&lt;&gt;"",K53-I53,TODAY()-I53))</f>
        <v/>
      </c>
      <c r="K53" s="10" t="n"/>
      <c r="L53" s="10" t="n"/>
      <c r="M53" s="8" t="n"/>
      <c r="N53" s="8" t="n"/>
      <c r="O53" s="8" t="n"/>
      <c r="P53" s="8" t="n"/>
      <c r="Q53" s="8" t="n"/>
      <c r="R53" s="7" t="n"/>
      <c r="S53" s="12" t="n"/>
      <c r="T53" s="8" t="n"/>
    </row>
    <row r="54" ht="18" customHeight="1">
      <c r="A54" s="6" t="n"/>
      <c r="B54" s="7" t="n"/>
      <c r="C54" s="8" t="n"/>
      <c r="D54" s="9">
        <f>IF(OR(E54="",B54="完了"),"",IF(TODAY()&gt;E54,"超過",IF(TODAY()+3&gt;=E54,"間近","")))</f>
        <v/>
      </c>
      <c r="E54" s="10" t="n"/>
      <c r="F54" s="7" t="n"/>
      <c r="G54" s="7" t="n"/>
      <c r="H54" s="7" t="n"/>
      <c r="I54" s="10" t="n"/>
      <c r="J54" s="11">
        <f>IF(I54="","",IF(K54&lt;&gt;"",K54-I54,TODAY()-I54))</f>
        <v/>
      </c>
      <c r="K54" s="10" t="n"/>
      <c r="L54" s="10" t="n"/>
      <c r="M54" s="8" t="n"/>
      <c r="N54" s="8" t="n"/>
      <c r="O54" s="8" t="n"/>
      <c r="P54" s="8" t="n"/>
      <c r="Q54" s="8" t="n"/>
      <c r="R54" s="7" t="n"/>
      <c r="S54" s="12" t="n"/>
      <c r="T54" s="8" t="n"/>
    </row>
    <row r="55" ht="18" customHeight="1">
      <c r="A55" s="6" t="n"/>
      <c r="B55" s="7" t="n"/>
      <c r="C55" s="8" t="n"/>
      <c r="D55" s="9">
        <f>IF(OR(E55="",B55="完了"),"",IF(TODAY()&gt;E55,"超過",IF(TODAY()+3&gt;=E55,"間近","")))</f>
        <v/>
      </c>
      <c r="E55" s="10" t="n"/>
      <c r="F55" s="7" t="n"/>
      <c r="G55" s="7" t="n"/>
      <c r="H55" s="7" t="n"/>
      <c r="I55" s="10" t="n"/>
      <c r="J55" s="11">
        <f>IF(I55="","",IF(K55&lt;&gt;"",K55-I55,TODAY()-I55))</f>
        <v/>
      </c>
      <c r="K55" s="10" t="n"/>
      <c r="L55" s="10" t="n"/>
      <c r="M55" s="8" t="n"/>
      <c r="N55" s="8" t="n"/>
      <c r="O55" s="8" t="n"/>
      <c r="P55" s="8" t="n"/>
      <c r="Q55" s="8" t="n"/>
      <c r="R55" s="7" t="n"/>
      <c r="S55" s="12" t="n"/>
      <c r="T55" s="8" t="n"/>
    </row>
    <row r="56" ht="18" customHeight="1">
      <c r="A56" s="6" t="n"/>
      <c r="B56" s="7" t="n"/>
      <c r="C56" s="8" t="n"/>
      <c r="D56" s="9">
        <f>IF(OR(E56="",B56="完了"),"",IF(TODAY()&gt;E56,"超過",IF(TODAY()+3&gt;=E56,"間近","")))</f>
        <v/>
      </c>
      <c r="E56" s="10" t="n"/>
      <c r="F56" s="7" t="n"/>
      <c r="G56" s="7" t="n"/>
      <c r="H56" s="7" t="n"/>
      <c r="I56" s="10" t="n"/>
      <c r="J56" s="11">
        <f>IF(I56="","",IF(K56&lt;&gt;"",K56-I56,TODAY()-I56))</f>
        <v/>
      </c>
      <c r="K56" s="10" t="n"/>
      <c r="L56" s="10" t="n"/>
      <c r="M56" s="8" t="n"/>
      <c r="N56" s="8" t="n"/>
      <c r="O56" s="8" t="n"/>
      <c r="P56" s="8" t="n"/>
      <c r="Q56" s="8" t="n"/>
      <c r="R56" s="7" t="n"/>
      <c r="S56" s="12" t="n"/>
      <c r="T56" s="8" t="n"/>
    </row>
    <row r="57" ht="18" customHeight="1">
      <c r="A57" s="6" t="n"/>
      <c r="B57" s="7" t="n"/>
      <c r="C57" s="8" t="n"/>
      <c r="D57" s="9">
        <f>IF(OR(E57="",B57="完了"),"",IF(TODAY()&gt;E57,"超過",IF(TODAY()+3&gt;=E57,"間近","")))</f>
        <v/>
      </c>
      <c r="E57" s="10" t="n"/>
      <c r="F57" s="7" t="n"/>
      <c r="G57" s="7" t="n"/>
      <c r="H57" s="7" t="n"/>
      <c r="I57" s="10" t="n"/>
      <c r="J57" s="11">
        <f>IF(I57="","",IF(K57&lt;&gt;"",K57-I57,TODAY()-I57))</f>
        <v/>
      </c>
      <c r="K57" s="10" t="n"/>
      <c r="L57" s="10" t="n"/>
      <c r="M57" s="8" t="n"/>
      <c r="N57" s="8" t="n"/>
      <c r="O57" s="8" t="n"/>
      <c r="P57" s="8" t="n"/>
      <c r="Q57" s="8" t="n"/>
      <c r="R57" s="7" t="n"/>
      <c r="S57" s="12" t="n"/>
      <c r="T57" s="8" t="n"/>
    </row>
    <row r="58" ht="18" customHeight="1">
      <c r="A58" s="6" t="n"/>
      <c r="B58" s="7" t="n"/>
      <c r="C58" s="8" t="n"/>
      <c r="D58" s="9">
        <f>IF(OR(E58="",B58="完了"),"",IF(TODAY()&gt;E58,"超過",IF(TODAY()+3&gt;=E58,"間近","")))</f>
        <v/>
      </c>
      <c r="E58" s="10" t="n"/>
      <c r="F58" s="7" t="n"/>
      <c r="G58" s="7" t="n"/>
      <c r="H58" s="7" t="n"/>
      <c r="I58" s="10" t="n"/>
      <c r="J58" s="11">
        <f>IF(I58="","",IF(K58&lt;&gt;"",K58-I58,TODAY()-I58))</f>
        <v/>
      </c>
      <c r="K58" s="10" t="n"/>
      <c r="L58" s="10" t="n"/>
      <c r="M58" s="8" t="n"/>
      <c r="N58" s="8" t="n"/>
      <c r="O58" s="8" t="n"/>
      <c r="P58" s="8" t="n"/>
      <c r="Q58" s="8" t="n"/>
      <c r="R58" s="7" t="n"/>
      <c r="S58" s="12" t="n"/>
      <c r="T58" s="8" t="n"/>
    </row>
    <row r="59" ht="18" customHeight="1">
      <c r="A59" s="6" t="n"/>
      <c r="B59" s="7" t="n"/>
      <c r="C59" s="8" t="n"/>
      <c r="D59" s="9">
        <f>IF(OR(E59="",B59="完了"),"",IF(TODAY()&gt;E59,"超過",IF(TODAY()+3&gt;=E59,"間近","")))</f>
        <v/>
      </c>
      <c r="E59" s="10" t="n"/>
      <c r="F59" s="7" t="n"/>
      <c r="G59" s="7" t="n"/>
      <c r="H59" s="7" t="n"/>
      <c r="I59" s="10" t="n"/>
      <c r="J59" s="11">
        <f>IF(I59="","",IF(K59&lt;&gt;"",K59-I59,TODAY()-I59))</f>
        <v/>
      </c>
      <c r="K59" s="10" t="n"/>
      <c r="L59" s="10" t="n"/>
      <c r="M59" s="8" t="n"/>
      <c r="N59" s="8" t="n"/>
      <c r="O59" s="8" t="n"/>
      <c r="P59" s="8" t="n"/>
      <c r="Q59" s="8" t="n"/>
      <c r="R59" s="7" t="n"/>
      <c r="S59" s="12" t="n"/>
      <c r="T59" s="8" t="n"/>
    </row>
    <row r="60" ht="18" customHeight="1">
      <c r="A60" s="6" t="n"/>
      <c r="B60" s="7" t="n"/>
      <c r="C60" s="8" t="n"/>
      <c r="D60" s="9">
        <f>IF(OR(E60="",B60="完了"),"",IF(TODAY()&gt;E60,"超過",IF(TODAY()+3&gt;=E60,"間近","")))</f>
        <v/>
      </c>
      <c r="E60" s="10" t="n"/>
      <c r="F60" s="7" t="n"/>
      <c r="G60" s="7" t="n"/>
      <c r="H60" s="7" t="n"/>
      <c r="I60" s="10" t="n"/>
      <c r="J60" s="11">
        <f>IF(I60="","",IF(K60&lt;&gt;"",K60-I60,TODAY()-I60))</f>
        <v/>
      </c>
      <c r="K60" s="10" t="n"/>
      <c r="L60" s="10" t="n"/>
      <c r="M60" s="8" t="n"/>
      <c r="N60" s="8" t="n"/>
      <c r="O60" s="8" t="n"/>
      <c r="P60" s="8" t="n"/>
      <c r="Q60" s="8" t="n"/>
      <c r="R60" s="7" t="n"/>
      <c r="S60" s="12" t="n"/>
      <c r="T60" s="8" t="n"/>
    </row>
    <row r="61" ht="18" customHeight="1">
      <c r="A61" s="6" t="n"/>
      <c r="B61" s="7" t="n"/>
      <c r="C61" s="8" t="n"/>
      <c r="D61" s="9">
        <f>IF(OR(E61="",B61="完了"),"",IF(TODAY()&gt;E61,"超過",IF(TODAY()+3&gt;=E61,"間近","")))</f>
        <v/>
      </c>
      <c r="E61" s="10" t="n"/>
      <c r="F61" s="7" t="n"/>
      <c r="G61" s="7" t="n"/>
      <c r="H61" s="7" t="n"/>
      <c r="I61" s="10" t="n"/>
      <c r="J61" s="11">
        <f>IF(I61="","",IF(K61&lt;&gt;"",K61-I61,TODAY()-I61))</f>
        <v/>
      </c>
      <c r="K61" s="10" t="n"/>
      <c r="L61" s="10" t="n"/>
      <c r="M61" s="8" t="n"/>
      <c r="N61" s="8" t="n"/>
      <c r="O61" s="8" t="n"/>
      <c r="P61" s="8" t="n"/>
      <c r="Q61" s="8" t="n"/>
      <c r="R61" s="7" t="n"/>
      <c r="S61" s="12" t="n"/>
      <c r="T61" s="8" t="n"/>
    </row>
    <row r="62" ht="18" customHeight="1">
      <c r="A62" s="6" t="n"/>
      <c r="B62" s="7" t="n"/>
      <c r="C62" s="8" t="n"/>
      <c r="D62" s="9">
        <f>IF(OR(E62="",B62="完了"),"",IF(TODAY()&gt;E62,"超過",IF(TODAY()+3&gt;=E62,"間近","")))</f>
        <v/>
      </c>
      <c r="E62" s="10" t="n"/>
      <c r="F62" s="7" t="n"/>
      <c r="G62" s="7" t="n"/>
      <c r="H62" s="7" t="n"/>
      <c r="I62" s="10" t="n"/>
      <c r="J62" s="11">
        <f>IF(I62="","",IF(K62&lt;&gt;"",K62-I62,TODAY()-I62))</f>
        <v/>
      </c>
      <c r="K62" s="10" t="n"/>
      <c r="L62" s="10" t="n"/>
      <c r="M62" s="8" t="n"/>
      <c r="N62" s="8" t="n"/>
      <c r="O62" s="8" t="n"/>
      <c r="P62" s="8" t="n"/>
      <c r="Q62" s="8" t="n"/>
      <c r="R62" s="7" t="n"/>
      <c r="S62" s="12" t="n"/>
      <c r="T62" s="8" t="n"/>
    </row>
    <row r="63" ht="18" customHeight="1">
      <c r="A63" s="6" t="n"/>
      <c r="B63" s="7" t="n"/>
      <c r="C63" s="8" t="n"/>
      <c r="D63" s="9">
        <f>IF(OR(E63="",B63="完了"),"",IF(TODAY()&gt;E63,"超過",IF(TODAY()+3&gt;=E63,"間近","")))</f>
        <v/>
      </c>
      <c r="E63" s="10" t="n"/>
      <c r="F63" s="7" t="n"/>
      <c r="G63" s="7" t="n"/>
      <c r="H63" s="7" t="n"/>
      <c r="I63" s="10" t="n"/>
      <c r="J63" s="11">
        <f>IF(I63="","",IF(K63&lt;&gt;"",K63-I63,TODAY()-I63))</f>
        <v/>
      </c>
      <c r="K63" s="10" t="n"/>
      <c r="L63" s="10" t="n"/>
      <c r="M63" s="8" t="n"/>
      <c r="N63" s="8" t="n"/>
      <c r="O63" s="8" t="n"/>
      <c r="P63" s="8" t="n"/>
      <c r="Q63" s="8" t="n"/>
      <c r="R63" s="7" t="n"/>
      <c r="S63" s="12" t="n"/>
      <c r="T63" s="8" t="n"/>
    </row>
    <row r="64" ht="18" customHeight="1">
      <c r="A64" s="6" t="n"/>
      <c r="B64" s="7" t="n"/>
      <c r="C64" s="8" t="n"/>
      <c r="D64" s="9">
        <f>IF(OR(E64="",B64="完了"),"",IF(TODAY()&gt;E64,"超過",IF(TODAY()+3&gt;=E64,"間近","")))</f>
        <v/>
      </c>
      <c r="E64" s="10" t="n"/>
      <c r="F64" s="7" t="n"/>
      <c r="G64" s="7" t="n"/>
      <c r="H64" s="7" t="n"/>
      <c r="I64" s="10" t="n"/>
      <c r="J64" s="11">
        <f>IF(I64="","",IF(K64&lt;&gt;"",K64-I64,TODAY()-I64))</f>
        <v/>
      </c>
      <c r="K64" s="10" t="n"/>
      <c r="L64" s="10" t="n"/>
      <c r="M64" s="8" t="n"/>
      <c r="N64" s="8" t="n"/>
      <c r="O64" s="8" t="n"/>
      <c r="P64" s="8" t="n"/>
      <c r="Q64" s="8" t="n"/>
      <c r="R64" s="7" t="n"/>
      <c r="S64" s="12" t="n"/>
      <c r="T64" s="8" t="n"/>
    </row>
    <row r="65" ht="18" customHeight="1">
      <c r="A65" s="6" t="n"/>
      <c r="B65" s="7" t="n"/>
      <c r="C65" s="8" t="n"/>
      <c r="D65" s="9">
        <f>IF(OR(E65="",B65="完了"),"",IF(TODAY()&gt;E65,"超過",IF(TODAY()+3&gt;=E65,"間近","")))</f>
        <v/>
      </c>
      <c r="E65" s="10" t="n"/>
      <c r="F65" s="7" t="n"/>
      <c r="G65" s="7" t="n"/>
      <c r="H65" s="7" t="n"/>
      <c r="I65" s="10" t="n"/>
      <c r="J65" s="11">
        <f>IF(I65="","",IF(K65&lt;&gt;"",K65-I65,TODAY()-I65))</f>
        <v/>
      </c>
      <c r="K65" s="10" t="n"/>
      <c r="L65" s="10" t="n"/>
      <c r="M65" s="8" t="n"/>
      <c r="N65" s="8" t="n"/>
      <c r="O65" s="8" t="n"/>
      <c r="P65" s="8" t="n"/>
      <c r="Q65" s="8" t="n"/>
      <c r="R65" s="7" t="n"/>
      <c r="S65" s="12" t="n"/>
      <c r="T65" s="8" t="n"/>
    </row>
    <row r="66" ht="18" customHeight="1">
      <c r="A66" s="6" t="n"/>
      <c r="B66" s="7" t="n"/>
      <c r="C66" s="8" t="n"/>
      <c r="D66" s="9">
        <f>IF(OR(E66="",B66="完了"),"",IF(TODAY()&gt;E66,"超過",IF(TODAY()+3&gt;=E66,"間近","")))</f>
        <v/>
      </c>
      <c r="E66" s="10" t="n"/>
      <c r="F66" s="7" t="n"/>
      <c r="G66" s="7" t="n"/>
      <c r="H66" s="7" t="n"/>
      <c r="I66" s="10" t="n"/>
      <c r="J66" s="11">
        <f>IF(I66="","",IF(K66&lt;&gt;"",K66-I66,TODAY()-I66))</f>
        <v/>
      </c>
      <c r="K66" s="10" t="n"/>
      <c r="L66" s="10" t="n"/>
      <c r="M66" s="8" t="n"/>
      <c r="N66" s="8" t="n"/>
      <c r="O66" s="8" t="n"/>
      <c r="P66" s="8" t="n"/>
      <c r="Q66" s="8" t="n"/>
      <c r="R66" s="7" t="n"/>
      <c r="S66" s="12" t="n"/>
      <c r="T66" s="8" t="n"/>
    </row>
    <row r="67" ht="18" customHeight="1">
      <c r="A67" s="6" t="n"/>
      <c r="B67" s="7" t="n"/>
      <c r="C67" s="8" t="n"/>
      <c r="D67" s="9">
        <f>IF(OR(E67="",B67="完了"),"",IF(TODAY()&gt;E67,"超過",IF(TODAY()+3&gt;=E67,"間近","")))</f>
        <v/>
      </c>
      <c r="E67" s="10" t="n"/>
      <c r="F67" s="7" t="n"/>
      <c r="G67" s="7" t="n"/>
      <c r="H67" s="7" t="n"/>
      <c r="I67" s="10" t="n"/>
      <c r="J67" s="11">
        <f>IF(I67="","",IF(K67&lt;&gt;"",K67-I67,TODAY()-I67))</f>
        <v/>
      </c>
      <c r="K67" s="10" t="n"/>
      <c r="L67" s="10" t="n"/>
      <c r="M67" s="8" t="n"/>
      <c r="N67" s="8" t="n"/>
      <c r="O67" s="8" t="n"/>
      <c r="P67" s="8" t="n"/>
      <c r="Q67" s="8" t="n"/>
      <c r="R67" s="7" t="n"/>
      <c r="S67" s="12" t="n"/>
      <c r="T67" s="8" t="n"/>
    </row>
    <row r="68" ht="18" customHeight="1">
      <c r="A68" s="6" t="n"/>
      <c r="B68" s="7" t="n"/>
      <c r="C68" s="8" t="n"/>
      <c r="D68" s="9">
        <f>IF(OR(E68="",B68="完了"),"",IF(TODAY()&gt;E68,"超過",IF(TODAY()+3&gt;=E68,"間近","")))</f>
        <v/>
      </c>
      <c r="E68" s="10" t="n"/>
      <c r="F68" s="7" t="n"/>
      <c r="G68" s="7" t="n"/>
      <c r="H68" s="7" t="n"/>
      <c r="I68" s="10" t="n"/>
      <c r="J68" s="11">
        <f>IF(I68="","",IF(K68&lt;&gt;"",K68-I68,TODAY()-I68))</f>
        <v/>
      </c>
      <c r="K68" s="10" t="n"/>
      <c r="L68" s="10" t="n"/>
      <c r="M68" s="8" t="n"/>
      <c r="N68" s="8" t="n"/>
      <c r="O68" s="8" t="n"/>
      <c r="P68" s="8" t="n"/>
      <c r="Q68" s="8" t="n"/>
      <c r="R68" s="7" t="n"/>
      <c r="S68" s="12" t="n"/>
      <c r="T68" s="8" t="n"/>
    </row>
    <row r="69" ht="18" customHeight="1">
      <c r="A69" s="6" t="n"/>
      <c r="B69" s="7" t="n"/>
      <c r="C69" s="8" t="n"/>
      <c r="D69" s="9">
        <f>IF(OR(E69="",B69="完了"),"",IF(TODAY()&gt;E69,"超過",IF(TODAY()+3&gt;=E69,"間近","")))</f>
        <v/>
      </c>
      <c r="E69" s="10" t="n"/>
      <c r="F69" s="7" t="n"/>
      <c r="G69" s="7" t="n"/>
      <c r="H69" s="7" t="n"/>
      <c r="I69" s="10" t="n"/>
      <c r="J69" s="11">
        <f>IF(I69="","",IF(K69&lt;&gt;"",K69-I69,TODAY()-I69))</f>
        <v/>
      </c>
      <c r="K69" s="10" t="n"/>
      <c r="L69" s="10" t="n"/>
      <c r="M69" s="8" t="n"/>
      <c r="N69" s="8" t="n"/>
      <c r="O69" s="8" t="n"/>
      <c r="P69" s="8" t="n"/>
      <c r="Q69" s="8" t="n"/>
      <c r="R69" s="7" t="n"/>
      <c r="S69" s="12" t="n"/>
      <c r="T69" s="8" t="n"/>
    </row>
    <row r="70" ht="18" customHeight="1">
      <c r="A70" s="6" t="n"/>
      <c r="B70" s="7" t="n"/>
      <c r="C70" s="8" t="n"/>
      <c r="D70" s="9">
        <f>IF(OR(E70="",B70="完了"),"",IF(TODAY()&gt;E70,"超過",IF(TODAY()+3&gt;=E70,"間近","")))</f>
        <v/>
      </c>
      <c r="E70" s="10" t="n"/>
      <c r="F70" s="7" t="n"/>
      <c r="G70" s="7" t="n"/>
      <c r="H70" s="7" t="n"/>
      <c r="I70" s="10" t="n"/>
      <c r="J70" s="11">
        <f>IF(I70="","",IF(K70&lt;&gt;"",K70-I70,TODAY()-I70))</f>
        <v/>
      </c>
      <c r="K70" s="10" t="n"/>
      <c r="L70" s="10" t="n"/>
      <c r="M70" s="8" t="n"/>
      <c r="N70" s="8" t="n"/>
      <c r="O70" s="8" t="n"/>
      <c r="P70" s="8" t="n"/>
      <c r="Q70" s="8" t="n"/>
      <c r="R70" s="7" t="n"/>
      <c r="S70" s="12" t="n"/>
      <c r="T70" s="8" t="n"/>
    </row>
    <row r="71" ht="18" customHeight="1">
      <c r="A71" s="6" t="n"/>
      <c r="B71" s="7" t="n"/>
      <c r="C71" s="8" t="n"/>
      <c r="D71" s="9">
        <f>IF(OR(E71="",B71="完了"),"",IF(TODAY()&gt;E71,"超過",IF(TODAY()+3&gt;=E71,"間近","")))</f>
        <v/>
      </c>
      <c r="E71" s="10" t="n"/>
      <c r="F71" s="7" t="n"/>
      <c r="G71" s="7" t="n"/>
      <c r="H71" s="7" t="n"/>
      <c r="I71" s="10" t="n"/>
      <c r="J71" s="11">
        <f>IF(I71="","",IF(K71&lt;&gt;"",K71-I71,TODAY()-I71))</f>
        <v/>
      </c>
      <c r="K71" s="10" t="n"/>
      <c r="L71" s="10" t="n"/>
      <c r="M71" s="8" t="n"/>
      <c r="N71" s="8" t="n"/>
      <c r="O71" s="8" t="n"/>
      <c r="P71" s="8" t="n"/>
      <c r="Q71" s="8" t="n"/>
      <c r="R71" s="7" t="n"/>
      <c r="S71" s="12" t="n"/>
      <c r="T71" s="8" t="n"/>
    </row>
    <row r="72" ht="18" customHeight="1">
      <c r="A72" s="6" t="n"/>
      <c r="B72" s="7" t="n"/>
      <c r="C72" s="8" t="n"/>
      <c r="D72" s="9">
        <f>IF(OR(E72="",B72="完了"),"",IF(TODAY()&gt;E72,"超過",IF(TODAY()+3&gt;=E72,"間近","")))</f>
        <v/>
      </c>
      <c r="E72" s="10" t="n"/>
      <c r="F72" s="7" t="n"/>
      <c r="G72" s="7" t="n"/>
      <c r="H72" s="7" t="n"/>
      <c r="I72" s="10" t="n"/>
      <c r="J72" s="11">
        <f>IF(I72="","",IF(K72&lt;&gt;"",K72-I72,TODAY()-I72))</f>
        <v/>
      </c>
      <c r="K72" s="10" t="n"/>
      <c r="L72" s="10" t="n"/>
      <c r="M72" s="8" t="n"/>
      <c r="N72" s="8" t="n"/>
      <c r="O72" s="8" t="n"/>
      <c r="P72" s="8" t="n"/>
      <c r="Q72" s="8" t="n"/>
      <c r="R72" s="7" t="n"/>
      <c r="S72" s="12" t="n"/>
      <c r="T72" s="8" t="n"/>
    </row>
    <row r="73" ht="18" customHeight="1">
      <c r="A73" s="6" t="n"/>
      <c r="B73" s="7" t="n"/>
      <c r="C73" s="8" t="n"/>
      <c r="D73" s="9">
        <f>IF(OR(E73="",B73="完了"),"",IF(TODAY()&gt;E73,"超過",IF(TODAY()+3&gt;=E73,"間近","")))</f>
        <v/>
      </c>
      <c r="E73" s="10" t="n"/>
      <c r="F73" s="7" t="n"/>
      <c r="G73" s="7" t="n"/>
      <c r="H73" s="7" t="n"/>
      <c r="I73" s="10" t="n"/>
      <c r="J73" s="11">
        <f>IF(I73="","",IF(K73&lt;&gt;"",K73-I73,TODAY()-I73))</f>
        <v/>
      </c>
      <c r="K73" s="10" t="n"/>
      <c r="L73" s="10" t="n"/>
      <c r="M73" s="8" t="n"/>
      <c r="N73" s="8" t="n"/>
      <c r="O73" s="8" t="n"/>
      <c r="P73" s="8" t="n"/>
      <c r="Q73" s="8" t="n"/>
      <c r="R73" s="7" t="n"/>
      <c r="S73" s="12" t="n"/>
      <c r="T73" s="8" t="n"/>
    </row>
    <row r="74" ht="18" customHeight="1">
      <c r="A74" s="6" t="n"/>
      <c r="B74" s="7" t="n"/>
      <c r="C74" s="8" t="n"/>
      <c r="D74" s="9">
        <f>IF(OR(E74="",B74="完了"),"",IF(TODAY()&gt;E74,"超過",IF(TODAY()+3&gt;=E74,"間近","")))</f>
        <v/>
      </c>
      <c r="E74" s="10" t="n"/>
      <c r="F74" s="7" t="n"/>
      <c r="G74" s="7" t="n"/>
      <c r="H74" s="7" t="n"/>
      <c r="I74" s="10" t="n"/>
      <c r="J74" s="11">
        <f>IF(I74="","",IF(K74&lt;&gt;"",K74-I74,TODAY()-I74))</f>
        <v/>
      </c>
      <c r="K74" s="10" t="n"/>
      <c r="L74" s="10" t="n"/>
      <c r="M74" s="8" t="n"/>
      <c r="N74" s="8" t="n"/>
      <c r="O74" s="8" t="n"/>
      <c r="P74" s="8" t="n"/>
      <c r="Q74" s="8" t="n"/>
      <c r="R74" s="7" t="n"/>
      <c r="S74" s="12" t="n"/>
      <c r="T74" s="8" t="n"/>
    </row>
    <row r="75" ht="18" customHeight="1">
      <c r="A75" s="6" t="n"/>
      <c r="B75" s="7" t="n"/>
      <c r="C75" s="8" t="n"/>
      <c r="D75" s="9">
        <f>IF(OR(E75="",B75="完了"),"",IF(TODAY()&gt;E75,"超過",IF(TODAY()+3&gt;=E75,"間近","")))</f>
        <v/>
      </c>
      <c r="E75" s="10" t="n"/>
      <c r="F75" s="7" t="n"/>
      <c r="G75" s="7" t="n"/>
      <c r="H75" s="7" t="n"/>
      <c r="I75" s="10" t="n"/>
      <c r="J75" s="11">
        <f>IF(I75="","",IF(K75&lt;&gt;"",K75-I75,TODAY()-I75))</f>
        <v/>
      </c>
      <c r="K75" s="10" t="n"/>
      <c r="L75" s="10" t="n"/>
      <c r="M75" s="8" t="n"/>
      <c r="N75" s="8" t="n"/>
      <c r="O75" s="8" t="n"/>
      <c r="P75" s="8" t="n"/>
      <c r="Q75" s="8" t="n"/>
      <c r="R75" s="7" t="n"/>
      <c r="S75" s="12" t="n"/>
      <c r="T75" s="8" t="n"/>
    </row>
    <row r="76" ht="18" customHeight="1">
      <c r="A76" s="6" t="n"/>
      <c r="B76" s="7" t="n"/>
      <c r="C76" s="8" t="n"/>
      <c r="D76" s="9">
        <f>IF(OR(E76="",B76="完了"),"",IF(TODAY()&gt;E76,"超過",IF(TODAY()+3&gt;=E76,"間近","")))</f>
        <v/>
      </c>
      <c r="E76" s="10" t="n"/>
      <c r="F76" s="7" t="n"/>
      <c r="G76" s="7" t="n"/>
      <c r="H76" s="7" t="n"/>
      <c r="I76" s="10" t="n"/>
      <c r="J76" s="11">
        <f>IF(I76="","",IF(K76&lt;&gt;"",K76-I76,TODAY()-I76))</f>
        <v/>
      </c>
      <c r="K76" s="10" t="n"/>
      <c r="L76" s="10" t="n"/>
      <c r="M76" s="8" t="n"/>
      <c r="N76" s="8" t="n"/>
      <c r="O76" s="8" t="n"/>
      <c r="P76" s="8" t="n"/>
      <c r="Q76" s="8" t="n"/>
      <c r="R76" s="7" t="n"/>
      <c r="S76" s="12" t="n"/>
      <c r="T76" s="8" t="n"/>
    </row>
    <row r="77" ht="18" customHeight="1">
      <c r="A77" s="6" t="n"/>
      <c r="B77" s="7" t="n"/>
      <c r="C77" s="8" t="n"/>
      <c r="D77" s="9">
        <f>IF(OR(E77="",B77="完了"),"",IF(TODAY()&gt;E77,"超過",IF(TODAY()+3&gt;=E77,"間近","")))</f>
        <v/>
      </c>
      <c r="E77" s="10" t="n"/>
      <c r="F77" s="7" t="n"/>
      <c r="G77" s="7" t="n"/>
      <c r="H77" s="7" t="n"/>
      <c r="I77" s="10" t="n"/>
      <c r="J77" s="11">
        <f>IF(I77="","",IF(K77&lt;&gt;"",K77-I77,TODAY()-I77))</f>
        <v/>
      </c>
      <c r="K77" s="10" t="n"/>
      <c r="L77" s="10" t="n"/>
      <c r="M77" s="8" t="n"/>
      <c r="N77" s="8" t="n"/>
      <c r="O77" s="8" t="n"/>
      <c r="P77" s="8" t="n"/>
      <c r="Q77" s="8" t="n"/>
      <c r="R77" s="7" t="n"/>
      <c r="S77" s="12" t="n"/>
      <c r="T77" s="8" t="n"/>
    </row>
    <row r="78" ht="18" customHeight="1">
      <c r="A78" s="6" t="n"/>
      <c r="B78" s="7" t="n"/>
      <c r="C78" s="8" t="n"/>
      <c r="D78" s="9">
        <f>IF(OR(E78="",B78="完了"),"",IF(TODAY()&gt;E78,"超過",IF(TODAY()+3&gt;=E78,"間近","")))</f>
        <v/>
      </c>
      <c r="E78" s="10" t="n"/>
      <c r="F78" s="7" t="n"/>
      <c r="G78" s="7" t="n"/>
      <c r="H78" s="7" t="n"/>
      <c r="I78" s="10" t="n"/>
      <c r="J78" s="11">
        <f>IF(I78="","",IF(K78&lt;&gt;"",K78-I78,TODAY()-I78))</f>
        <v/>
      </c>
      <c r="K78" s="10" t="n"/>
      <c r="L78" s="10" t="n"/>
      <c r="M78" s="8" t="n"/>
      <c r="N78" s="8" t="n"/>
      <c r="O78" s="8" t="n"/>
      <c r="P78" s="8" t="n"/>
      <c r="Q78" s="8" t="n"/>
      <c r="R78" s="7" t="n"/>
      <c r="S78" s="12" t="n"/>
      <c r="T78" s="8" t="n"/>
    </row>
    <row r="79" ht="18" customHeight="1">
      <c r="A79" s="6" t="n"/>
      <c r="B79" s="7" t="n"/>
      <c r="C79" s="8" t="n"/>
      <c r="D79" s="9">
        <f>IF(OR(E79="",B79="完了"),"",IF(TODAY()&gt;E79,"超過",IF(TODAY()+3&gt;=E79,"間近","")))</f>
        <v/>
      </c>
      <c r="E79" s="10" t="n"/>
      <c r="F79" s="7" t="n"/>
      <c r="G79" s="7" t="n"/>
      <c r="H79" s="7" t="n"/>
      <c r="I79" s="10" t="n"/>
      <c r="J79" s="11">
        <f>IF(I79="","",IF(K79&lt;&gt;"",K79-I79,TODAY()-I79))</f>
        <v/>
      </c>
      <c r="K79" s="10" t="n"/>
      <c r="L79" s="10" t="n"/>
      <c r="M79" s="8" t="n"/>
      <c r="N79" s="8" t="n"/>
      <c r="O79" s="8" t="n"/>
      <c r="P79" s="8" t="n"/>
      <c r="Q79" s="8" t="n"/>
      <c r="R79" s="7" t="n"/>
      <c r="S79" s="12" t="n"/>
      <c r="T79" s="8" t="n"/>
    </row>
    <row r="80" ht="18" customHeight="1">
      <c r="A80" s="6" t="n"/>
      <c r="B80" s="7" t="n"/>
      <c r="C80" s="8" t="n"/>
      <c r="D80" s="9">
        <f>IF(OR(E80="",B80="完了"),"",IF(TODAY()&gt;E80,"超過",IF(TODAY()+3&gt;=E80,"間近","")))</f>
        <v/>
      </c>
      <c r="E80" s="10" t="n"/>
      <c r="F80" s="7" t="n"/>
      <c r="G80" s="7" t="n"/>
      <c r="H80" s="7" t="n"/>
      <c r="I80" s="10" t="n"/>
      <c r="J80" s="11">
        <f>IF(I80="","",IF(K80&lt;&gt;"",K80-I80,TODAY()-I80))</f>
        <v/>
      </c>
      <c r="K80" s="10" t="n"/>
      <c r="L80" s="10" t="n"/>
      <c r="M80" s="8" t="n"/>
      <c r="N80" s="8" t="n"/>
      <c r="O80" s="8" t="n"/>
      <c r="P80" s="8" t="n"/>
      <c r="Q80" s="8" t="n"/>
      <c r="R80" s="7" t="n"/>
      <c r="S80" s="12" t="n"/>
      <c r="T80" s="8" t="n"/>
    </row>
    <row r="81" ht="18" customHeight="1">
      <c r="A81" s="6" t="n"/>
      <c r="B81" s="7" t="n"/>
      <c r="C81" s="8" t="n"/>
      <c r="D81" s="9">
        <f>IF(OR(E81="",B81="完了"),"",IF(TODAY()&gt;E81,"超過",IF(TODAY()+3&gt;=E81,"間近","")))</f>
        <v/>
      </c>
      <c r="E81" s="10" t="n"/>
      <c r="F81" s="7" t="n"/>
      <c r="G81" s="7" t="n"/>
      <c r="H81" s="7" t="n"/>
      <c r="I81" s="10" t="n"/>
      <c r="J81" s="11">
        <f>IF(I81="","",IF(K81&lt;&gt;"",K81-I81,TODAY()-I81))</f>
        <v/>
      </c>
      <c r="K81" s="10" t="n"/>
      <c r="L81" s="10" t="n"/>
      <c r="M81" s="8" t="n"/>
      <c r="N81" s="8" t="n"/>
      <c r="O81" s="8" t="n"/>
      <c r="P81" s="8" t="n"/>
      <c r="Q81" s="8" t="n"/>
      <c r="R81" s="7" t="n"/>
      <c r="S81" s="12" t="n"/>
      <c r="T81" s="8" t="n"/>
    </row>
    <row r="82" ht="18" customHeight="1">
      <c r="A82" s="6" t="n"/>
      <c r="B82" s="7" t="n"/>
      <c r="C82" s="8" t="n"/>
      <c r="D82" s="9">
        <f>IF(OR(E82="",B82="完了"),"",IF(TODAY()&gt;E82,"超過",IF(TODAY()+3&gt;=E82,"間近","")))</f>
        <v/>
      </c>
      <c r="E82" s="10" t="n"/>
      <c r="F82" s="7" t="n"/>
      <c r="G82" s="7" t="n"/>
      <c r="H82" s="7" t="n"/>
      <c r="I82" s="10" t="n"/>
      <c r="J82" s="11">
        <f>IF(I82="","",IF(K82&lt;&gt;"",K82-I82,TODAY()-I82))</f>
        <v/>
      </c>
      <c r="K82" s="10" t="n"/>
      <c r="L82" s="10" t="n"/>
      <c r="M82" s="8" t="n"/>
      <c r="N82" s="8" t="n"/>
      <c r="O82" s="8" t="n"/>
      <c r="P82" s="8" t="n"/>
      <c r="Q82" s="8" t="n"/>
      <c r="R82" s="7" t="n"/>
      <c r="S82" s="12" t="n"/>
      <c r="T82" s="8" t="n"/>
    </row>
    <row r="83" ht="18" customHeight="1">
      <c r="A83" s="6" t="n"/>
      <c r="B83" s="7" t="n"/>
      <c r="C83" s="8" t="n"/>
      <c r="D83" s="9">
        <f>IF(OR(E83="",B83="完了"),"",IF(TODAY()&gt;E83,"超過",IF(TODAY()+3&gt;=E83,"間近","")))</f>
        <v/>
      </c>
      <c r="E83" s="10" t="n"/>
      <c r="F83" s="7" t="n"/>
      <c r="G83" s="7" t="n"/>
      <c r="H83" s="7" t="n"/>
      <c r="I83" s="10" t="n"/>
      <c r="J83" s="11">
        <f>IF(I83="","",IF(K83&lt;&gt;"",K83-I83,TODAY()-I83))</f>
        <v/>
      </c>
      <c r="K83" s="10" t="n"/>
      <c r="L83" s="10" t="n"/>
      <c r="M83" s="8" t="n"/>
      <c r="N83" s="8" t="n"/>
      <c r="O83" s="8" t="n"/>
      <c r="P83" s="8" t="n"/>
      <c r="Q83" s="8" t="n"/>
      <c r="R83" s="7" t="n"/>
      <c r="S83" s="12" t="n"/>
      <c r="T83" s="8" t="n"/>
    </row>
    <row r="84" ht="18" customHeight="1">
      <c r="A84" s="6" t="n"/>
      <c r="B84" s="7" t="n"/>
      <c r="C84" s="8" t="n"/>
      <c r="D84" s="9">
        <f>IF(OR(E84="",B84="完了"),"",IF(TODAY()&gt;E84,"超過",IF(TODAY()+3&gt;=E84,"間近","")))</f>
        <v/>
      </c>
      <c r="E84" s="10" t="n"/>
      <c r="F84" s="7" t="n"/>
      <c r="G84" s="7" t="n"/>
      <c r="H84" s="7" t="n"/>
      <c r="I84" s="10" t="n"/>
      <c r="J84" s="11">
        <f>IF(I84="","",IF(K84&lt;&gt;"",K84-I84,TODAY()-I84))</f>
        <v/>
      </c>
      <c r="K84" s="10" t="n"/>
      <c r="L84" s="10" t="n"/>
      <c r="M84" s="8" t="n"/>
      <c r="N84" s="8" t="n"/>
      <c r="O84" s="8" t="n"/>
      <c r="P84" s="8" t="n"/>
      <c r="Q84" s="8" t="n"/>
      <c r="R84" s="7" t="n"/>
      <c r="S84" s="12" t="n"/>
      <c r="T84" s="8" t="n"/>
    </row>
    <row r="85" ht="18" customHeight="1">
      <c r="A85" s="6" t="n"/>
      <c r="B85" s="7" t="n"/>
      <c r="C85" s="8" t="n"/>
      <c r="D85" s="9">
        <f>IF(OR(E85="",B85="完了"),"",IF(TODAY()&gt;E85,"超過",IF(TODAY()+3&gt;=E85,"間近","")))</f>
        <v/>
      </c>
      <c r="E85" s="10" t="n"/>
      <c r="F85" s="7" t="n"/>
      <c r="G85" s="7" t="n"/>
      <c r="H85" s="7" t="n"/>
      <c r="I85" s="10" t="n"/>
      <c r="J85" s="11">
        <f>IF(I85="","",IF(K85&lt;&gt;"",K85-I85,TODAY()-I85))</f>
        <v/>
      </c>
      <c r="K85" s="10" t="n"/>
      <c r="L85" s="10" t="n"/>
      <c r="M85" s="8" t="n"/>
      <c r="N85" s="8" t="n"/>
      <c r="O85" s="8" t="n"/>
      <c r="P85" s="8" t="n"/>
      <c r="Q85" s="8" t="n"/>
      <c r="R85" s="7" t="n"/>
      <c r="S85" s="12" t="n"/>
      <c r="T85" s="8" t="n"/>
    </row>
    <row r="86" ht="18" customHeight="1">
      <c r="A86" s="6" t="n"/>
      <c r="B86" s="7" t="n"/>
      <c r="C86" s="8" t="n"/>
      <c r="D86" s="9">
        <f>IF(OR(E86="",B86="完了"),"",IF(TODAY()&gt;E86,"超過",IF(TODAY()+3&gt;=E86,"間近","")))</f>
        <v/>
      </c>
      <c r="E86" s="10" t="n"/>
      <c r="F86" s="7" t="n"/>
      <c r="G86" s="7" t="n"/>
      <c r="H86" s="7" t="n"/>
      <c r="I86" s="10" t="n"/>
      <c r="J86" s="11">
        <f>IF(I86="","",IF(K86&lt;&gt;"",K86-I86,TODAY()-I86))</f>
        <v/>
      </c>
      <c r="K86" s="10" t="n"/>
      <c r="L86" s="10" t="n"/>
      <c r="M86" s="8" t="n"/>
      <c r="N86" s="8" t="n"/>
      <c r="O86" s="8" t="n"/>
      <c r="P86" s="8" t="n"/>
      <c r="Q86" s="8" t="n"/>
      <c r="R86" s="7" t="n"/>
      <c r="S86" s="12" t="n"/>
      <c r="T86" s="8" t="n"/>
    </row>
    <row r="87" ht="18" customHeight="1">
      <c r="A87" s="6" t="n"/>
      <c r="B87" s="7" t="n"/>
      <c r="C87" s="8" t="n"/>
      <c r="D87" s="9">
        <f>IF(OR(E87="",B87="完了"),"",IF(TODAY()&gt;E87,"超過",IF(TODAY()+3&gt;=E87,"間近","")))</f>
        <v/>
      </c>
      <c r="E87" s="10" t="n"/>
      <c r="F87" s="7" t="n"/>
      <c r="G87" s="7" t="n"/>
      <c r="H87" s="7" t="n"/>
      <c r="I87" s="10" t="n"/>
      <c r="J87" s="11">
        <f>IF(I87="","",IF(K87&lt;&gt;"",K87-I87,TODAY()-I87))</f>
        <v/>
      </c>
      <c r="K87" s="10" t="n"/>
      <c r="L87" s="10" t="n"/>
      <c r="M87" s="8" t="n"/>
      <c r="N87" s="8" t="n"/>
      <c r="O87" s="8" t="n"/>
      <c r="P87" s="8" t="n"/>
      <c r="Q87" s="8" t="n"/>
      <c r="R87" s="7" t="n"/>
      <c r="S87" s="12" t="n"/>
      <c r="T87" s="8" t="n"/>
    </row>
    <row r="88" ht="18" customHeight="1">
      <c r="A88" s="6" t="n"/>
      <c r="B88" s="7" t="n"/>
      <c r="C88" s="8" t="n"/>
      <c r="D88" s="9">
        <f>IF(OR(E88="",B88="完了"),"",IF(TODAY()&gt;E88,"超過",IF(TODAY()+3&gt;=E88,"間近","")))</f>
        <v/>
      </c>
      <c r="E88" s="10" t="n"/>
      <c r="F88" s="7" t="n"/>
      <c r="G88" s="7" t="n"/>
      <c r="H88" s="7" t="n"/>
      <c r="I88" s="10" t="n"/>
      <c r="J88" s="11">
        <f>IF(I88="","",IF(K88&lt;&gt;"",K88-I88,TODAY()-I88))</f>
        <v/>
      </c>
      <c r="K88" s="10" t="n"/>
      <c r="L88" s="10" t="n"/>
      <c r="M88" s="8" t="n"/>
      <c r="N88" s="8" t="n"/>
      <c r="O88" s="8" t="n"/>
      <c r="P88" s="8" t="n"/>
      <c r="Q88" s="8" t="n"/>
      <c r="R88" s="7" t="n"/>
      <c r="S88" s="12" t="n"/>
      <c r="T88" s="8" t="n"/>
    </row>
    <row r="89" ht="18" customHeight="1">
      <c r="A89" s="6" t="n"/>
      <c r="B89" s="7" t="n"/>
      <c r="C89" s="8" t="n"/>
      <c r="D89" s="9">
        <f>IF(OR(E89="",B89="完了"),"",IF(TODAY()&gt;E89,"超過",IF(TODAY()+3&gt;=E89,"間近","")))</f>
        <v/>
      </c>
      <c r="E89" s="10" t="n"/>
      <c r="F89" s="7" t="n"/>
      <c r="G89" s="7" t="n"/>
      <c r="H89" s="7" t="n"/>
      <c r="I89" s="10" t="n"/>
      <c r="J89" s="11">
        <f>IF(I89="","",IF(K89&lt;&gt;"",K89-I89,TODAY()-I89))</f>
        <v/>
      </c>
      <c r="K89" s="10" t="n"/>
      <c r="L89" s="10" t="n"/>
      <c r="M89" s="8" t="n"/>
      <c r="N89" s="8" t="n"/>
      <c r="O89" s="8" t="n"/>
      <c r="P89" s="8" t="n"/>
      <c r="Q89" s="8" t="n"/>
      <c r="R89" s="7" t="n"/>
      <c r="S89" s="12" t="n"/>
      <c r="T89" s="8" t="n"/>
    </row>
    <row r="90" ht="18" customHeight="1">
      <c r="A90" s="6" t="n"/>
      <c r="B90" s="7" t="n"/>
      <c r="C90" s="8" t="n"/>
      <c r="D90" s="9">
        <f>IF(OR(E90="",B90="完了"),"",IF(TODAY()&gt;E90,"超過",IF(TODAY()+3&gt;=E90,"間近","")))</f>
        <v/>
      </c>
      <c r="E90" s="10" t="n"/>
      <c r="F90" s="7" t="n"/>
      <c r="G90" s="7" t="n"/>
      <c r="H90" s="7" t="n"/>
      <c r="I90" s="10" t="n"/>
      <c r="J90" s="11">
        <f>IF(I90="","",IF(K90&lt;&gt;"",K90-I90,TODAY()-I90))</f>
        <v/>
      </c>
      <c r="K90" s="10" t="n"/>
      <c r="L90" s="10" t="n"/>
      <c r="M90" s="8" t="n"/>
      <c r="N90" s="8" t="n"/>
      <c r="O90" s="8" t="n"/>
      <c r="P90" s="8" t="n"/>
      <c r="Q90" s="8" t="n"/>
      <c r="R90" s="7" t="n"/>
      <c r="S90" s="12" t="n"/>
      <c r="T90" s="8" t="n"/>
    </row>
    <row r="91" ht="18" customHeight="1">
      <c r="A91" s="6" t="n"/>
      <c r="B91" s="7" t="n"/>
      <c r="C91" s="8" t="n"/>
      <c r="D91" s="9">
        <f>IF(OR(E91="",B91="完了"),"",IF(TODAY()&gt;E91,"超過",IF(TODAY()+3&gt;=E91,"間近","")))</f>
        <v/>
      </c>
      <c r="E91" s="10" t="n"/>
      <c r="F91" s="7" t="n"/>
      <c r="G91" s="7" t="n"/>
      <c r="H91" s="7" t="n"/>
      <c r="I91" s="10" t="n"/>
      <c r="J91" s="11">
        <f>IF(I91="","",IF(K91&lt;&gt;"",K91-I91,TODAY()-I91))</f>
        <v/>
      </c>
      <c r="K91" s="10" t="n"/>
      <c r="L91" s="10" t="n"/>
      <c r="M91" s="8" t="n"/>
      <c r="N91" s="8" t="n"/>
      <c r="O91" s="8" t="n"/>
      <c r="P91" s="8" t="n"/>
      <c r="Q91" s="8" t="n"/>
      <c r="R91" s="7" t="n"/>
      <c r="S91" s="12" t="n"/>
      <c r="T91" s="8" t="n"/>
    </row>
    <row r="92" ht="18" customHeight="1">
      <c r="A92" s="6" t="n"/>
      <c r="B92" s="7" t="n"/>
      <c r="C92" s="8" t="n"/>
      <c r="D92" s="9">
        <f>IF(OR(E92="",B92="完了"),"",IF(TODAY()&gt;E92,"超過",IF(TODAY()+3&gt;=E92,"間近","")))</f>
        <v/>
      </c>
      <c r="E92" s="10" t="n"/>
      <c r="F92" s="7" t="n"/>
      <c r="G92" s="7" t="n"/>
      <c r="H92" s="7" t="n"/>
      <c r="I92" s="10" t="n"/>
      <c r="J92" s="11">
        <f>IF(I92="","",IF(K92&lt;&gt;"",K92-I92,TODAY()-I92))</f>
        <v/>
      </c>
      <c r="K92" s="10" t="n"/>
      <c r="L92" s="10" t="n"/>
      <c r="M92" s="8" t="n"/>
      <c r="N92" s="8" t="n"/>
      <c r="O92" s="8" t="n"/>
      <c r="P92" s="8" t="n"/>
      <c r="Q92" s="8" t="n"/>
      <c r="R92" s="7" t="n"/>
      <c r="S92" s="12" t="n"/>
      <c r="T92" s="8" t="n"/>
    </row>
    <row r="93" ht="18" customHeight="1">
      <c r="A93" s="6" t="n"/>
      <c r="B93" s="7" t="n"/>
      <c r="C93" s="8" t="n"/>
      <c r="D93" s="9">
        <f>IF(OR(E93="",B93="完了"),"",IF(TODAY()&gt;E93,"超過",IF(TODAY()+3&gt;=E93,"間近","")))</f>
        <v/>
      </c>
      <c r="E93" s="10" t="n"/>
      <c r="F93" s="7" t="n"/>
      <c r="G93" s="7" t="n"/>
      <c r="H93" s="7" t="n"/>
      <c r="I93" s="10" t="n"/>
      <c r="J93" s="11">
        <f>IF(I93="","",IF(K93&lt;&gt;"",K93-I93,TODAY()-I93))</f>
        <v/>
      </c>
      <c r="K93" s="10" t="n"/>
      <c r="L93" s="10" t="n"/>
      <c r="M93" s="8" t="n"/>
      <c r="N93" s="8" t="n"/>
      <c r="O93" s="8" t="n"/>
      <c r="P93" s="8" t="n"/>
      <c r="Q93" s="8" t="n"/>
      <c r="R93" s="7" t="n"/>
      <c r="S93" s="12" t="n"/>
      <c r="T93" s="8" t="n"/>
    </row>
    <row r="94" ht="18" customHeight="1">
      <c r="A94" s="6" t="n"/>
      <c r="B94" s="7" t="n"/>
      <c r="C94" s="8" t="n"/>
      <c r="D94" s="9">
        <f>IF(OR(E94="",B94="完了"),"",IF(TODAY()&gt;E94,"超過",IF(TODAY()+3&gt;=E94,"間近","")))</f>
        <v/>
      </c>
      <c r="E94" s="10" t="n"/>
      <c r="F94" s="7" t="n"/>
      <c r="G94" s="7" t="n"/>
      <c r="H94" s="7" t="n"/>
      <c r="I94" s="10" t="n"/>
      <c r="J94" s="11">
        <f>IF(I94="","",IF(K94&lt;&gt;"",K94-I94,TODAY()-I94))</f>
        <v/>
      </c>
      <c r="K94" s="10" t="n"/>
      <c r="L94" s="10" t="n"/>
      <c r="M94" s="8" t="n"/>
      <c r="N94" s="8" t="n"/>
      <c r="O94" s="8" t="n"/>
      <c r="P94" s="8" t="n"/>
      <c r="Q94" s="8" t="n"/>
      <c r="R94" s="7" t="n"/>
      <c r="S94" s="12" t="n"/>
      <c r="T94" s="8" t="n"/>
    </row>
    <row r="95" ht="18" customHeight="1">
      <c r="A95" s="6" t="n"/>
      <c r="B95" s="7" t="n"/>
      <c r="C95" s="8" t="n"/>
      <c r="D95" s="9">
        <f>IF(OR(E95="",B95="完了"),"",IF(TODAY()&gt;E95,"超過",IF(TODAY()+3&gt;=E95,"間近","")))</f>
        <v/>
      </c>
      <c r="E95" s="10" t="n"/>
      <c r="F95" s="7" t="n"/>
      <c r="G95" s="7" t="n"/>
      <c r="H95" s="7" t="n"/>
      <c r="I95" s="10" t="n"/>
      <c r="J95" s="11">
        <f>IF(I95="","",IF(K95&lt;&gt;"",K95-I95,TODAY()-I95))</f>
        <v/>
      </c>
      <c r="K95" s="10" t="n"/>
      <c r="L95" s="10" t="n"/>
      <c r="M95" s="8" t="n"/>
      <c r="N95" s="8" t="n"/>
      <c r="O95" s="8" t="n"/>
      <c r="P95" s="8" t="n"/>
      <c r="Q95" s="8" t="n"/>
      <c r="R95" s="7" t="n"/>
      <c r="S95" s="12" t="n"/>
      <c r="T95" s="8" t="n"/>
    </row>
    <row r="96" ht="18" customHeight="1">
      <c r="A96" s="6" t="n"/>
      <c r="B96" s="7" t="n"/>
      <c r="C96" s="8" t="n"/>
      <c r="D96" s="9">
        <f>IF(OR(E96="",B96="完了"),"",IF(TODAY()&gt;E96,"超過",IF(TODAY()+3&gt;=E96,"間近","")))</f>
        <v/>
      </c>
      <c r="E96" s="10" t="n"/>
      <c r="F96" s="7" t="n"/>
      <c r="G96" s="7" t="n"/>
      <c r="H96" s="7" t="n"/>
      <c r="I96" s="10" t="n"/>
      <c r="J96" s="11">
        <f>IF(I96="","",IF(K96&lt;&gt;"",K96-I96,TODAY()-I96))</f>
        <v/>
      </c>
      <c r="K96" s="10" t="n"/>
      <c r="L96" s="10" t="n"/>
      <c r="M96" s="8" t="n"/>
      <c r="N96" s="8" t="n"/>
      <c r="O96" s="8" t="n"/>
      <c r="P96" s="8" t="n"/>
      <c r="Q96" s="8" t="n"/>
      <c r="R96" s="7" t="n"/>
      <c r="S96" s="12" t="n"/>
      <c r="T96" s="8" t="n"/>
    </row>
    <row r="97" ht="18" customHeight="1">
      <c r="A97" s="6" t="n"/>
      <c r="B97" s="7" t="n"/>
      <c r="C97" s="8" t="n"/>
      <c r="D97" s="9">
        <f>IF(OR(E97="",B97="完了"),"",IF(TODAY()&gt;E97,"超過",IF(TODAY()+3&gt;=E97,"間近","")))</f>
        <v/>
      </c>
      <c r="E97" s="10" t="n"/>
      <c r="F97" s="7" t="n"/>
      <c r="G97" s="7" t="n"/>
      <c r="H97" s="7" t="n"/>
      <c r="I97" s="10" t="n"/>
      <c r="J97" s="11">
        <f>IF(I97="","",IF(K97&lt;&gt;"",K97-I97,TODAY()-I97))</f>
        <v/>
      </c>
      <c r="K97" s="10" t="n"/>
      <c r="L97" s="10" t="n"/>
      <c r="M97" s="8" t="n"/>
      <c r="N97" s="8" t="n"/>
      <c r="O97" s="8" t="n"/>
      <c r="P97" s="8" t="n"/>
      <c r="Q97" s="8" t="n"/>
      <c r="R97" s="7" t="n"/>
      <c r="S97" s="12" t="n"/>
      <c r="T97" s="8" t="n"/>
    </row>
    <row r="98" ht="18" customHeight="1">
      <c r="A98" s="6" t="n"/>
      <c r="B98" s="7" t="n"/>
      <c r="C98" s="8" t="n"/>
      <c r="D98" s="9">
        <f>IF(OR(E98="",B98="完了"),"",IF(TODAY()&gt;E98,"超過",IF(TODAY()+3&gt;=E98,"間近","")))</f>
        <v/>
      </c>
      <c r="E98" s="10" t="n"/>
      <c r="F98" s="7" t="n"/>
      <c r="G98" s="7" t="n"/>
      <c r="H98" s="7" t="n"/>
      <c r="I98" s="10" t="n"/>
      <c r="J98" s="11">
        <f>IF(I98="","",IF(K98&lt;&gt;"",K98-I98,TODAY()-I98))</f>
        <v/>
      </c>
      <c r="K98" s="10" t="n"/>
      <c r="L98" s="10" t="n"/>
      <c r="M98" s="8" t="n"/>
      <c r="N98" s="8" t="n"/>
      <c r="O98" s="8" t="n"/>
      <c r="P98" s="8" t="n"/>
      <c r="Q98" s="8" t="n"/>
      <c r="R98" s="7" t="n"/>
      <c r="S98" s="12" t="n"/>
      <c r="T98" s="8" t="n"/>
    </row>
    <row r="99" ht="18" customHeight="1">
      <c r="A99" s="6" t="n"/>
      <c r="B99" s="7" t="n"/>
      <c r="C99" s="8" t="n"/>
      <c r="D99" s="9">
        <f>IF(OR(E99="",B99="完了"),"",IF(TODAY()&gt;E99,"超過",IF(TODAY()+3&gt;=E99,"間近","")))</f>
        <v/>
      </c>
      <c r="E99" s="10" t="n"/>
      <c r="F99" s="7" t="n"/>
      <c r="G99" s="7" t="n"/>
      <c r="H99" s="7" t="n"/>
      <c r="I99" s="10" t="n"/>
      <c r="J99" s="11">
        <f>IF(I99="","",IF(K99&lt;&gt;"",K99-I99,TODAY()-I99))</f>
        <v/>
      </c>
      <c r="K99" s="10" t="n"/>
      <c r="L99" s="10" t="n"/>
      <c r="M99" s="8" t="n"/>
      <c r="N99" s="8" t="n"/>
      <c r="O99" s="8" t="n"/>
      <c r="P99" s="8" t="n"/>
      <c r="Q99" s="8" t="n"/>
      <c r="R99" s="7" t="n"/>
      <c r="S99" s="12" t="n"/>
      <c r="T99" s="8" t="n"/>
    </row>
    <row r="100" ht="18" customHeight="1">
      <c r="A100" s="6" t="n"/>
      <c r="B100" s="7" t="n"/>
      <c r="C100" s="8" t="n"/>
      <c r="D100" s="9">
        <f>IF(OR(E100="",B100="完了"),"",IF(TODAY()&gt;E100,"超過",IF(TODAY()+3&gt;=E100,"間近","")))</f>
        <v/>
      </c>
      <c r="E100" s="10" t="n"/>
      <c r="F100" s="7" t="n"/>
      <c r="G100" s="7" t="n"/>
      <c r="H100" s="7" t="n"/>
      <c r="I100" s="10" t="n"/>
      <c r="J100" s="11">
        <f>IF(I100="","",IF(K100&lt;&gt;"",K100-I100,TODAY()-I100))</f>
        <v/>
      </c>
      <c r="K100" s="10" t="n"/>
      <c r="L100" s="10" t="n"/>
      <c r="M100" s="8" t="n"/>
      <c r="N100" s="8" t="n"/>
      <c r="O100" s="8" t="n"/>
      <c r="P100" s="8" t="n"/>
      <c r="Q100" s="8" t="n"/>
      <c r="R100" s="7" t="n"/>
      <c r="S100" s="12" t="n"/>
      <c r="T100" s="8" t="n"/>
    </row>
    <row r="101" ht="18" customHeight="1">
      <c r="A101" s="6" t="n"/>
      <c r="B101" s="7" t="n"/>
      <c r="C101" s="8" t="n"/>
      <c r="D101" s="9">
        <f>IF(OR(E101="",B101="完了"),"",IF(TODAY()&gt;E101,"超過",IF(TODAY()+3&gt;=E101,"間近","")))</f>
        <v/>
      </c>
      <c r="E101" s="10" t="n"/>
      <c r="F101" s="7" t="n"/>
      <c r="G101" s="7" t="n"/>
      <c r="H101" s="7" t="n"/>
      <c r="I101" s="10" t="n"/>
      <c r="J101" s="11">
        <f>IF(I101="","",IF(K101&lt;&gt;"",K101-I101,TODAY()-I101))</f>
        <v/>
      </c>
      <c r="K101" s="10" t="n"/>
      <c r="L101" s="10" t="n"/>
      <c r="M101" s="8" t="n"/>
      <c r="N101" s="8" t="n"/>
      <c r="O101" s="8" t="n"/>
      <c r="P101" s="8" t="n"/>
      <c r="Q101" s="8" t="n"/>
      <c r="R101" s="7" t="n"/>
      <c r="S101" s="12" t="n"/>
      <c r="T101" s="8" t="n"/>
    </row>
    <row r="102" ht="18" customHeight="1">
      <c r="A102" s="6" t="n"/>
      <c r="B102" s="7" t="n"/>
      <c r="C102" s="8" t="n"/>
      <c r="D102" s="9">
        <f>IF(OR(E102="",B102="完了"),"",IF(TODAY()&gt;E102,"超過",IF(TODAY()+3&gt;=E102,"間近","")))</f>
        <v/>
      </c>
      <c r="E102" s="10" t="n"/>
      <c r="F102" s="7" t="n"/>
      <c r="G102" s="7" t="n"/>
      <c r="H102" s="7" t="n"/>
      <c r="I102" s="10" t="n"/>
      <c r="J102" s="11">
        <f>IF(I102="","",IF(K102&lt;&gt;"",K102-I102,TODAY()-I102))</f>
        <v/>
      </c>
      <c r="K102" s="10" t="n"/>
      <c r="L102" s="10" t="n"/>
      <c r="M102" s="8" t="n"/>
      <c r="N102" s="8" t="n"/>
      <c r="O102" s="8" t="n"/>
      <c r="P102" s="8" t="n"/>
      <c r="Q102" s="8" t="n"/>
      <c r="R102" s="7" t="n"/>
      <c r="S102" s="12" t="n"/>
      <c r="T102" s="8" t="n"/>
    </row>
    <row r="103" ht="18" customHeight="1">
      <c r="A103" s="6" t="n"/>
      <c r="B103" s="7" t="n"/>
      <c r="C103" s="8" t="n"/>
      <c r="D103" s="9">
        <f>IF(OR(E103="",B103="完了"),"",IF(TODAY()&gt;E103,"超過",IF(TODAY()+3&gt;=E103,"間近","")))</f>
        <v/>
      </c>
      <c r="E103" s="10" t="n"/>
      <c r="F103" s="7" t="n"/>
      <c r="G103" s="7" t="n"/>
      <c r="H103" s="7" t="n"/>
      <c r="I103" s="10" t="n"/>
      <c r="J103" s="11">
        <f>IF(I103="","",IF(K103&lt;&gt;"",K103-I103,TODAY()-I103))</f>
        <v/>
      </c>
      <c r="K103" s="10" t="n"/>
      <c r="L103" s="10" t="n"/>
      <c r="M103" s="8" t="n"/>
      <c r="N103" s="8" t="n"/>
      <c r="O103" s="8" t="n"/>
      <c r="P103" s="8" t="n"/>
      <c r="Q103" s="8" t="n"/>
      <c r="R103" s="7" t="n"/>
      <c r="S103" s="12" t="n"/>
      <c r="T103" s="8" t="n"/>
    </row>
    <row r="104" ht="18" customHeight="1">
      <c r="A104" s="6" t="n"/>
      <c r="B104" s="7" t="n"/>
      <c r="C104" s="8" t="n"/>
      <c r="D104" s="9">
        <f>IF(OR(E104="",B104="完了"),"",IF(TODAY()&gt;E104,"超過",IF(TODAY()+3&gt;=E104,"間近","")))</f>
        <v/>
      </c>
      <c r="E104" s="10" t="n"/>
      <c r="F104" s="7" t="n"/>
      <c r="G104" s="7" t="n"/>
      <c r="H104" s="7" t="n"/>
      <c r="I104" s="10" t="n"/>
      <c r="J104" s="11">
        <f>IF(I104="","",IF(K104&lt;&gt;"",K104-I104,TODAY()-I104))</f>
        <v/>
      </c>
      <c r="K104" s="10" t="n"/>
      <c r="L104" s="10" t="n"/>
      <c r="M104" s="8" t="n"/>
      <c r="N104" s="8" t="n"/>
      <c r="O104" s="8" t="n"/>
      <c r="P104" s="8" t="n"/>
      <c r="Q104" s="8" t="n"/>
      <c r="R104" s="7" t="n"/>
      <c r="S104" s="12" t="n"/>
      <c r="T104" s="8" t="n"/>
    </row>
    <row r="105" ht="18" customHeight="1">
      <c r="A105" s="6" t="n"/>
      <c r="B105" s="7" t="n"/>
      <c r="C105" s="8" t="n"/>
      <c r="D105" s="9">
        <f>IF(OR(E105="",B105="完了"),"",IF(TODAY()&gt;E105,"超過",IF(TODAY()+3&gt;=E105,"間近","")))</f>
        <v/>
      </c>
      <c r="E105" s="10" t="n"/>
      <c r="F105" s="7" t="n"/>
      <c r="G105" s="7" t="n"/>
      <c r="H105" s="7" t="n"/>
      <c r="I105" s="10" t="n"/>
      <c r="J105" s="11">
        <f>IF(I105="","",IF(K105&lt;&gt;"",K105-I105,TODAY()-I105))</f>
        <v/>
      </c>
      <c r="K105" s="10" t="n"/>
      <c r="L105" s="10" t="n"/>
      <c r="M105" s="8" t="n"/>
      <c r="N105" s="8" t="n"/>
      <c r="O105" s="8" t="n"/>
      <c r="P105" s="8" t="n"/>
      <c r="Q105" s="8" t="n"/>
      <c r="R105" s="7" t="n"/>
      <c r="S105" s="12" t="n"/>
      <c r="T105" s="8" t="n"/>
    </row>
    <row r="106" ht="18" customHeight="1">
      <c r="A106" s="6" t="n"/>
      <c r="B106" s="7" t="n"/>
      <c r="C106" s="8" t="n"/>
      <c r="D106" s="9">
        <f>IF(OR(E106="",B106="完了"),"",IF(TODAY()&gt;E106,"超過",IF(TODAY()+3&gt;=E106,"間近","")))</f>
        <v/>
      </c>
      <c r="E106" s="10" t="n"/>
      <c r="F106" s="7" t="n"/>
      <c r="G106" s="7" t="n"/>
      <c r="H106" s="7" t="n"/>
      <c r="I106" s="10" t="n"/>
      <c r="J106" s="11">
        <f>IF(I106="","",IF(K106&lt;&gt;"",K106-I106,TODAY()-I106))</f>
        <v/>
      </c>
      <c r="K106" s="10" t="n"/>
      <c r="L106" s="10" t="n"/>
      <c r="M106" s="8" t="n"/>
      <c r="N106" s="8" t="n"/>
      <c r="O106" s="8" t="n"/>
      <c r="P106" s="8" t="n"/>
      <c r="Q106" s="8" t="n"/>
      <c r="R106" s="7" t="n"/>
      <c r="S106" s="12" t="n"/>
      <c r="T106" s="8" t="n"/>
    </row>
    <row r="107" ht="18" customHeight="1">
      <c r="A107" s="6" t="n"/>
      <c r="B107" s="7" t="n"/>
      <c r="C107" s="8" t="n"/>
      <c r="D107" s="9">
        <f>IF(OR(E107="",B107="完了"),"",IF(TODAY()&gt;E107,"超過",IF(TODAY()+3&gt;=E107,"間近","")))</f>
        <v/>
      </c>
      <c r="E107" s="10" t="n"/>
      <c r="F107" s="7" t="n"/>
      <c r="G107" s="7" t="n"/>
      <c r="H107" s="7" t="n"/>
      <c r="I107" s="10" t="n"/>
      <c r="J107" s="11">
        <f>IF(I107="","",IF(K107&lt;&gt;"",K107-I107,TODAY()-I107))</f>
        <v/>
      </c>
      <c r="K107" s="10" t="n"/>
      <c r="L107" s="10" t="n"/>
      <c r="M107" s="8" t="n"/>
      <c r="N107" s="8" t="n"/>
      <c r="O107" s="8" t="n"/>
      <c r="P107" s="8" t="n"/>
      <c r="Q107" s="8" t="n"/>
      <c r="R107" s="7" t="n"/>
      <c r="S107" s="12" t="n"/>
      <c r="T107" s="8" t="n"/>
    </row>
    <row r="108" ht="18" customHeight="1">
      <c r="A108" s="6" t="n"/>
      <c r="B108" s="7" t="n"/>
      <c r="C108" s="8" t="n"/>
      <c r="D108" s="9">
        <f>IF(OR(E108="",B108="完了"),"",IF(TODAY()&gt;E108,"超過",IF(TODAY()+3&gt;=E108,"間近","")))</f>
        <v/>
      </c>
      <c r="E108" s="10" t="n"/>
      <c r="F108" s="7" t="n"/>
      <c r="G108" s="7" t="n"/>
      <c r="H108" s="7" t="n"/>
      <c r="I108" s="10" t="n"/>
      <c r="J108" s="11">
        <f>IF(I108="","",IF(K108&lt;&gt;"",K108-I108,TODAY()-I108))</f>
        <v/>
      </c>
      <c r="K108" s="10" t="n"/>
      <c r="L108" s="10" t="n"/>
      <c r="M108" s="8" t="n"/>
      <c r="N108" s="8" t="n"/>
      <c r="O108" s="8" t="n"/>
      <c r="P108" s="8" t="n"/>
      <c r="Q108" s="8" t="n"/>
      <c r="R108" s="7" t="n"/>
      <c r="S108" s="12" t="n"/>
      <c r="T108" s="8" t="n"/>
    </row>
    <row r="109" ht="18" customHeight="1">
      <c r="A109" s="6" t="n"/>
      <c r="B109" s="7" t="n"/>
      <c r="C109" s="8" t="n"/>
      <c r="D109" s="9">
        <f>IF(OR(E109="",B109="完了"),"",IF(TODAY()&gt;E109,"超過",IF(TODAY()+3&gt;=E109,"間近","")))</f>
        <v/>
      </c>
      <c r="E109" s="10" t="n"/>
      <c r="F109" s="7" t="n"/>
      <c r="G109" s="7" t="n"/>
      <c r="H109" s="7" t="n"/>
      <c r="I109" s="10" t="n"/>
      <c r="J109" s="11">
        <f>IF(I109="","",IF(K109&lt;&gt;"",K109-I109,TODAY()-I109))</f>
        <v/>
      </c>
      <c r="K109" s="10" t="n"/>
      <c r="L109" s="10" t="n"/>
      <c r="M109" s="8" t="n"/>
      <c r="N109" s="8" t="n"/>
      <c r="O109" s="8" t="n"/>
      <c r="P109" s="8" t="n"/>
      <c r="Q109" s="8" t="n"/>
      <c r="R109" s="7" t="n"/>
      <c r="S109" s="12" t="n"/>
      <c r="T109" s="8" t="n"/>
    </row>
    <row r="110" ht="18" customHeight="1">
      <c r="A110" s="6" t="n"/>
      <c r="B110" s="7" t="n"/>
      <c r="C110" s="8" t="n"/>
      <c r="D110" s="9">
        <f>IF(OR(E110="",B110="完了"),"",IF(TODAY()&gt;E110,"超過",IF(TODAY()+3&gt;=E110,"間近","")))</f>
        <v/>
      </c>
      <c r="E110" s="10" t="n"/>
      <c r="F110" s="7" t="n"/>
      <c r="G110" s="7" t="n"/>
      <c r="H110" s="7" t="n"/>
      <c r="I110" s="10" t="n"/>
      <c r="J110" s="11">
        <f>IF(I110="","",IF(K110&lt;&gt;"",K110-I110,TODAY()-I110))</f>
        <v/>
      </c>
      <c r="K110" s="10" t="n"/>
      <c r="L110" s="10" t="n"/>
      <c r="M110" s="8" t="n"/>
      <c r="N110" s="8" t="n"/>
      <c r="O110" s="8" t="n"/>
      <c r="P110" s="8" t="n"/>
      <c r="Q110" s="8" t="n"/>
      <c r="R110" s="7" t="n"/>
      <c r="S110" s="12" t="n"/>
      <c r="T110" s="8" t="n"/>
    </row>
    <row r="111" ht="18" customHeight="1">
      <c r="A111" s="6" t="n"/>
      <c r="B111" s="7" t="n"/>
      <c r="C111" s="8" t="n"/>
      <c r="D111" s="9">
        <f>IF(OR(E111="",B111="完了"),"",IF(TODAY()&gt;E111,"超過",IF(TODAY()+3&gt;=E111,"間近","")))</f>
        <v/>
      </c>
      <c r="E111" s="10" t="n"/>
      <c r="F111" s="7" t="n"/>
      <c r="G111" s="7" t="n"/>
      <c r="H111" s="7" t="n"/>
      <c r="I111" s="10" t="n"/>
      <c r="J111" s="11">
        <f>IF(I111="","",IF(K111&lt;&gt;"",K111-I111,TODAY()-I111))</f>
        <v/>
      </c>
      <c r="K111" s="10" t="n"/>
      <c r="L111" s="10" t="n"/>
      <c r="M111" s="8" t="n"/>
      <c r="N111" s="8" t="n"/>
      <c r="O111" s="8" t="n"/>
      <c r="P111" s="8" t="n"/>
      <c r="Q111" s="8" t="n"/>
      <c r="R111" s="7" t="n"/>
      <c r="S111" s="12" t="n"/>
      <c r="T111" s="8" t="n"/>
    </row>
    <row r="112" ht="18" customHeight="1">
      <c r="A112" s="6" t="n"/>
      <c r="B112" s="7" t="n"/>
      <c r="C112" s="8" t="n"/>
      <c r="D112" s="9">
        <f>IF(OR(E112="",B112="完了"),"",IF(TODAY()&gt;E112,"超過",IF(TODAY()+3&gt;=E112,"間近","")))</f>
        <v/>
      </c>
      <c r="E112" s="10" t="n"/>
      <c r="F112" s="7" t="n"/>
      <c r="G112" s="7" t="n"/>
      <c r="H112" s="7" t="n"/>
      <c r="I112" s="10" t="n"/>
      <c r="J112" s="11">
        <f>IF(I112="","",IF(K112&lt;&gt;"",K112-I112,TODAY()-I112))</f>
        <v/>
      </c>
      <c r="K112" s="10" t="n"/>
      <c r="L112" s="10" t="n"/>
      <c r="M112" s="8" t="n"/>
      <c r="N112" s="8" t="n"/>
      <c r="O112" s="8" t="n"/>
      <c r="P112" s="8" t="n"/>
      <c r="Q112" s="8" t="n"/>
      <c r="R112" s="7" t="n"/>
      <c r="S112" s="12" t="n"/>
      <c r="T112" s="8" t="n"/>
    </row>
    <row r="113" ht="18" customHeight="1">
      <c r="A113" s="6" t="n"/>
      <c r="B113" s="7" t="n"/>
      <c r="C113" s="8" t="n"/>
      <c r="D113" s="9">
        <f>IF(OR(E113="",B113="完了"),"",IF(TODAY()&gt;E113,"超過",IF(TODAY()+3&gt;=E113,"間近","")))</f>
        <v/>
      </c>
      <c r="E113" s="10" t="n"/>
      <c r="F113" s="7" t="n"/>
      <c r="G113" s="7" t="n"/>
      <c r="H113" s="7" t="n"/>
      <c r="I113" s="10" t="n"/>
      <c r="J113" s="11">
        <f>IF(I113="","",IF(K113&lt;&gt;"",K113-I113,TODAY()-I113))</f>
        <v/>
      </c>
      <c r="K113" s="10" t="n"/>
      <c r="L113" s="10" t="n"/>
      <c r="M113" s="8" t="n"/>
      <c r="N113" s="8" t="n"/>
      <c r="O113" s="8" t="n"/>
      <c r="P113" s="8" t="n"/>
      <c r="Q113" s="8" t="n"/>
      <c r="R113" s="7" t="n"/>
      <c r="S113" s="12" t="n"/>
      <c r="T113" s="8" t="n"/>
    </row>
    <row r="114" ht="18" customHeight="1">
      <c r="A114" s="6" t="n"/>
      <c r="B114" s="7" t="n"/>
      <c r="C114" s="8" t="n"/>
      <c r="D114" s="9">
        <f>IF(OR(E114="",B114="完了"),"",IF(TODAY()&gt;E114,"超過",IF(TODAY()+3&gt;=E114,"間近","")))</f>
        <v/>
      </c>
      <c r="E114" s="10" t="n"/>
      <c r="F114" s="7" t="n"/>
      <c r="G114" s="7" t="n"/>
      <c r="H114" s="7" t="n"/>
      <c r="I114" s="10" t="n"/>
      <c r="J114" s="11">
        <f>IF(I114="","",IF(K114&lt;&gt;"",K114-I114,TODAY()-I114))</f>
        <v/>
      </c>
      <c r="K114" s="10" t="n"/>
      <c r="L114" s="10" t="n"/>
      <c r="M114" s="8" t="n"/>
      <c r="N114" s="8" t="n"/>
      <c r="O114" s="8" t="n"/>
      <c r="P114" s="8" t="n"/>
      <c r="Q114" s="8" t="n"/>
      <c r="R114" s="7" t="n"/>
      <c r="S114" s="12" t="n"/>
      <c r="T114" s="8" t="n"/>
    </row>
    <row r="115" ht="18" customHeight="1">
      <c r="A115" s="6" t="n"/>
      <c r="B115" s="7" t="n"/>
      <c r="C115" s="8" t="n"/>
      <c r="D115" s="9">
        <f>IF(OR(E115="",B115="完了"),"",IF(TODAY()&gt;E115,"超過",IF(TODAY()+3&gt;=E115,"間近","")))</f>
        <v/>
      </c>
      <c r="E115" s="10" t="n"/>
      <c r="F115" s="7" t="n"/>
      <c r="G115" s="7" t="n"/>
      <c r="H115" s="7" t="n"/>
      <c r="I115" s="10" t="n"/>
      <c r="J115" s="11">
        <f>IF(I115="","",IF(K115&lt;&gt;"",K115-I115,TODAY()-I115))</f>
        <v/>
      </c>
      <c r="K115" s="10" t="n"/>
      <c r="L115" s="10" t="n"/>
      <c r="M115" s="8" t="n"/>
      <c r="N115" s="8" t="n"/>
      <c r="O115" s="8" t="n"/>
      <c r="P115" s="8" t="n"/>
      <c r="Q115" s="8" t="n"/>
      <c r="R115" s="7" t="n"/>
      <c r="S115" s="12" t="n"/>
      <c r="T115" s="8" t="n"/>
    </row>
    <row r="116" ht="18" customHeight="1">
      <c r="A116" s="6" t="n"/>
      <c r="B116" s="7" t="n"/>
      <c r="C116" s="8" t="n"/>
      <c r="D116" s="9">
        <f>IF(OR(E116="",B116="完了"),"",IF(TODAY()&gt;E116,"超過",IF(TODAY()+3&gt;=E116,"間近","")))</f>
        <v/>
      </c>
      <c r="E116" s="10" t="n"/>
      <c r="F116" s="7" t="n"/>
      <c r="G116" s="7" t="n"/>
      <c r="H116" s="7" t="n"/>
      <c r="I116" s="10" t="n"/>
      <c r="J116" s="11">
        <f>IF(I116="","",IF(K116&lt;&gt;"",K116-I116,TODAY()-I116))</f>
        <v/>
      </c>
      <c r="K116" s="10" t="n"/>
      <c r="L116" s="10" t="n"/>
      <c r="M116" s="8" t="n"/>
      <c r="N116" s="8" t="n"/>
      <c r="O116" s="8" t="n"/>
      <c r="P116" s="8" t="n"/>
      <c r="Q116" s="8" t="n"/>
      <c r="R116" s="7" t="n"/>
      <c r="S116" s="12" t="n"/>
      <c r="T116" s="8" t="n"/>
    </row>
    <row r="117" ht="18" customHeight="1">
      <c r="A117" s="6" t="n"/>
      <c r="B117" s="7" t="n"/>
      <c r="C117" s="8" t="n"/>
      <c r="D117" s="9">
        <f>IF(OR(E117="",B117="完了"),"",IF(TODAY()&gt;E117,"超過",IF(TODAY()+3&gt;=E117,"間近","")))</f>
        <v/>
      </c>
      <c r="E117" s="10" t="n"/>
      <c r="F117" s="7" t="n"/>
      <c r="G117" s="7" t="n"/>
      <c r="H117" s="7" t="n"/>
      <c r="I117" s="10" t="n"/>
      <c r="J117" s="11">
        <f>IF(I117="","",IF(K117&lt;&gt;"",K117-I117,TODAY()-I117))</f>
        <v/>
      </c>
      <c r="K117" s="10" t="n"/>
      <c r="L117" s="10" t="n"/>
      <c r="M117" s="8" t="n"/>
      <c r="N117" s="8" t="n"/>
      <c r="O117" s="8" t="n"/>
      <c r="P117" s="8" t="n"/>
      <c r="Q117" s="8" t="n"/>
      <c r="R117" s="7" t="n"/>
      <c r="S117" s="12" t="n"/>
      <c r="T117" s="8" t="n"/>
    </row>
    <row r="118" ht="18" customHeight="1">
      <c r="A118" s="6" t="n"/>
      <c r="B118" s="7" t="n"/>
      <c r="C118" s="8" t="n"/>
      <c r="D118" s="9">
        <f>IF(OR(E118="",B118="完了"),"",IF(TODAY()&gt;E118,"超過",IF(TODAY()+3&gt;=E118,"間近","")))</f>
        <v/>
      </c>
      <c r="E118" s="10" t="n"/>
      <c r="F118" s="7" t="n"/>
      <c r="G118" s="7" t="n"/>
      <c r="H118" s="7" t="n"/>
      <c r="I118" s="10" t="n"/>
      <c r="J118" s="11">
        <f>IF(I118="","",IF(K118&lt;&gt;"",K118-I118,TODAY()-I118))</f>
        <v/>
      </c>
      <c r="K118" s="10" t="n"/>
      <c r="L118" s="10" t="n"/>
      <c r="M118" s="8" t="n"/>
      <c r="N118" s="8" t="n"/>
      <c r="O118" s="8" t="n"/>
      <c r="P118" s="8" t="n"/>
      <c r="Q118" s="8" t="n"/>
      <c r="R118" s="7" t="n"/>
      <c r="S118" s="12" t="n"/>
      <c r="T118" s="8" t="n"/>
    </row>
    <row r="119" ht="18" customHeight="1">
      <c r="A119" s="6" t="n"/>
      <c r="B119" s="7" t="n"/>
      <c r="C119" s="8" t="n"/>
      <c r="D119" s="9">
        <f>IF(OR(E119="",B119="完了"),"",IF(TODAY()&gt;E119,"超過",IF(TODAY()+3&gt;=E119,"間近","")))</f>
        <v/>
      </c>
      <c r="E119" s="10" t="n"/>
      <c r="F119" s="7" t="n"/>
      <c r="G119" s="7" t="n"/>
      <c r="H119" s="7" t="n"/>
      <c r="I119" s="10" t="n"/>
      <c r="J119" s="11">
        <f>IF(I119="","",IF(K119&lt;&gt;"",K119-I119,TODAY()-I119))</f>
        <v/>
      </c>
      <c r="K119" s="10" t="n"/>
      <c r="L119" s="10" t="n"/>
      <c r="M119" s="8" t="n"/>
      <c r="N119" s="8" t="n"/>
      <c r="O119" s="8" t="n"/>
      <c r="P119" s="8" t="n"/>
      <c r="Q119" s="8" t="n"/>
      <c r="R119" s="7" t="n"/>
      <c r="S119" s="12" t="n"/>
      <c r="T119" s="8" t="n"/>
    </row>
    <row r="120" ht="18" customHeight="1">
      <c r="A120" s="6" t="n"/>
      <c r="B120" s="7" t="n"/>
      <c r="C120" s="8" t="n"/>
      <c r="D120" s="9">
        <f>IF(OR(E120="",B120="完了"),"",IF(TODAY()&gt;E120,"超過",IF(TODAY()+3&gt;=E120,"間近","")))</f>
        <v/>
      </c>
      <c r="E120" s="10" t="n"/>
      <c r="F120" s="7" t="n"/>
      <c r="G120" s="7" t="n"/>
      <c r="H120" s="7" t="n"/>
      <c r="I120" s="10" t="n"/>
      <c r="J120" s="11">
        <f>IF(I120="","",IF(K120&lt;&gt;"",K120-I120,TODAY()-I120))</f>
        <v/>
      </c>
      <c r="K120" s="10" t="n"/>
      <c r="L120" s="10" t="n"/>
      <c r="M120" s="8" t="n"/>
      <c r="N120" s="8" t="n"/>
      <c r="O120" s="8" t="n"/>
      <c r="P120" s="8" t="n"/>
      <c r="Q120" s="8" t="n"/>
      <c r="R120" s="7" t="n"/>
      <c r="S120" s="12" t="n"/>
      <c r="T120" s="8" t="n"/>
    </row>
    <row r="121" ht="18" customHeight="1">
      <c r="A121" s="6" t="n"/>
      <c r="B121" s="7" t="n"/>
      <c r="C121" s="8" t="n"/>
      <c r="D121" s="9">
        <f>IF(OR(E121="",B121="完了"),"",IF(TODAY()&gt;E121,"超過",IF(TODAY()+3&gt;=E121,"間近","")))</f>
        <v/>
      </c>
      <c r="E121" s="10" t="n"/>
      <c r="F121" s="7" t="n"/>
      <c r="G121" s="7" t="n"/>
      <c r="H121" s="7" t="n"/>
      <c r="I121" s="10" t="n"/>
      <c r="J121" s="11">
        <f>IF(I121="","",IF(K121&lt;&gt;"",K121-I121,TODAY()-I121))</f>
        <v/>
      </c>
      <c r="K121" s="10" t="n"/>
      <c r="L121" s="10" t="n"/>
      <c r="M121" s="8" t="n"/>
      <c r="N121" s="8" t="n"/>
      <c r="O121" s="8" t="n"/>
      <c r="P121" s="8" t="n"/>
      <c r="Q121" s="8" t="n"/>
      <c r="R121" s="7" t="n"/>
      <c r="S121" s="12" t="n"/>
      <c r="T121" s="8" t="n"/>
    </row>
    <row r="122" ht="18" customHeight="1">
      <c r="A122" s="6" t="n"/>
      <c r="B122" s="7" t="n"/>
      <c r="C122" s="8" t="n"/>
      <c r="D122" s="9">
        <f>IF(OR(E122="",B122="完了"),"",IF(TODAY()&gt;E122,"超過",IF(TODAY()+3&gt;=E122,"間近","")))</f>
        <v/>
      </c>
      <c r="E122" s="10" t="n"/>
      <c r="F122" s="7" t="n"/>
      <c r="G122" s="7" t="n"/>
      <c r="H122" s="7" t="n"/>
      <c r="I122" s="10" t="n"/>
      <c r="J122" s="11">
        <f>IF(I122="","",IF(K122&lt;&gt;"",K122-I122,TODAY()-I122))</f>
        <v/>
      </c>
      <c r="K122" s="10" t="n"/>
      <c r="L122" s="10" t="n"/>
      <c r="M122" s="8" t="n"/>
      <c r="N122" s="8" t="n"/>
      <c r="O122" s="8" t="n"/>
      <c r="P122" s="8" t="n"/>
      <c r="Q122" s="8" t="n"/>
      <c r="R122" s="7" t="n"/>
      <c r="S122" s="12" t="n"/>
      <c r="T122" s="8" t="n"/>
    </row>
    <row r="123" ht="18" customHeight="1">
      <c r="A123" s="6" t="n"/>
      <c r="B123" s="7" t="n"/>
      <c r="C123" s="8" t="n"/>
      <c r="D123" s="9">
        <f>IF(OR(E123="",B123="完了"),"",IF(TODAY()&gt;E123,"超過",IF(TODAY()+3&gt;=E123,"間近","")))</f>
        <v/>
      </c>
      <c r="E123" s="10" t="n"/>
      <c r="F123" s="7" t="n"/>
      <c r="G123" s="7" t="n"/>
      <c r="H123" s="7" t="n"/>
      <c r="I123" s="10" t="n"/>
      <c r="J123" s="11">
        <f>IF(I123="","",IF(K123&lt;&gt;"",K123-I123,TODAY()-I123))</f>
        <v/>
      </c>
      <c r="K123" s="10" t="n"/>
      <c r="L123" s="10" t="n"/>
      <c r="M123" s="8" t="n"/>
      <c r="N123" s="8" t="n"/>
      <c r="O123" s="8" t="n"/>
      <c r="P123" s="8" t="n"/>
      <c r="Q123" s="8" t="n"/>
      <c r="R123" s="7" t="n"/>
      <c r="S123" s="12" t="n"/>
      <c r="T123" s="8" t="n"/>
    </row>
    <row r="124" ht="18" customHeight="1">
      <c r="A124" s="6" t="n"/>
      <c r="B124" s="7" t="n"/>
      <c r="C124" s="8" t="n"/>
      <c r="D124" s="9">
        <f>IF(OR(E124="",B124="完了"),"",IF(TODAY()&gt;E124,"超過",IF(TODAY()+3&gt;=E124,"間近","")))</f>
        <v/>
      </c>
      <c r="E124" s="10" t="n"/>
      <c r="F124" s="7" t="n"/>
      <c r="G124" s="7" t="n"/>
      <c r="H124" s="7" t="n"/>
      <c r="I124" s="10" t="n"/>
      <c r="J124" s="11">
        <f>IF(I124="","",IF(K124&lt;&gt;"",K124-I124,TODAY()-I124))</f>
        <v/>
      </c>
      <c r="K124" s="10" t="n"/>
      <c r="L124" s="10" t="n"/>
      <c r="M124" s="8" t="n"/>
      <c r="N124" s="8" t="n"/>
      <c r="O124" s="8" t="n"/>
      <c r="P124" s="8" t="n"/>
      <c r="Q124" s="8" t="n"/>
      <c r="R124" s="7" t="n"/>
      <c r="S124" s="12" t="n"/>
      <c r="T124" s="8" t="n"/>
    </row>
    <row r="125" ht="18" customHeight="1">
      <c r="A125" s="6" t="n"/>
      <c r="B125" s="7" t="n"/>
      <c r="C125" s="8" t="n"/>
      <c r="D125" s="9">
        <f>IF(OR(E125="",B125="完了"),"",IF(TODAY()&gt;E125,"超過",IF(TODAY()+3&gt;=E125,"間近","")))</f>
        <v/>
      </c>
      <c r="E125" s="10" t="n"/>
      <c r="F125" s="7" t="n"/>
      <c r="G125" s="7" t="n"/>
      <c r="H125" s="7" t="n"/>
      <c r="I125" s="10" t="n"/>
      <c r="J125" s="11">
        <f>IF(I125="","",IF(K125&lt;&gt;"",K125-I125,TODAY()-I125))</f>
        <v/>
      </c>
      <c r="K125" s="10" t="n"/>
      <c r="L125" s="10" t="n"/>
      <c r="M125" s="8" t="n"/>
      <c r="N125" s="8" t="n"/>
      <c r="O125" s="8" t="n"/>
      <c r="P125" s="8" t="n"/>
      <c r="Q125" s="8" t="n"/>
      <c r="R125" s="7" t="n"/>
      <c r="S125" s="12" t="n"/>
      <c r="T125" s="8" t="n"/>
    </row>
    <row r="126" ht="18" customHeight="1">
      <c r="A126" s="6" t="n"/>
      <c r="B126" s="7" t="n"/>
      <c r="C126" s="8" t="n"/>
      <c r="D126" s="9">
        <f>IF(OR(E126="",B126="完了"),"",IF(TODAY()&gt;E126,"超過",IF(TODAY()+3&gt;=E126,"間近","")))</f>
        <v/>
      </c>
      <c r="E126" s="10" t="n"/>
      <c r="F126" s="7" t="n"/>
      <c r="G126" s="7" t="n"/>
      <c r="H126" s="7" t="n"/>
      <c r="I126" s="10" t="n"/>
      <c r="J126" s="11">
        <f>IF(I126="","",IF(K126&lt;&gt;"",K126-I126,TODAY()-I126))</f>
        <v/>
      </c>
      <c r="K126" s="10" t="n"/>
      <c r="L126" s="10" t="n"/>
      <c r="M126" s="8" t="n"/>
      <c r="N126" s="8" t="n"/>
      <c r="O126" s="8" t="n"/>
      <c r="P126" s="8" t="n"/>
      <c r="Q126" s="8" t="n"/>
      <c r="R126" s="7" t="n"/>
      <c r="S126" s="12" t="n"/>
      <c r="T126" s="8" t="n"/>
    </row>
    <row r="127" ht="18" customHeight="1">
      <c r="A127" s="6" t="n"/>
      <c r="B127" s="7" t="n"/>
      <c r="C127" s="8" t="n"/>
      <c r="D127" s="9">
        <f>IF(OR(E127="",B127="完了"),"",IF(TODAY()&gt;E127,"超過",IF(TODAY()+3&gt;=E127,"間近","")))</f>
        <v/>
      </c>
      <c r="E127" s="10" t="n"/>
      <c r="F127" s="7" t="n"/>
      <c r="G127" s="7" t="n"/>
      <c r="H127" s="7" t="n"/>
      <c r="I127" s="10" t="n"/>
      <c r="J127" s="11">
        <f>IF(I127="","",IF(K127&lt;&gt;"",K127-I127,TODAY()-I127))</f>
        <v/>
      </c>
      <c r="K127" s="10" t="n"/>
      <c r="L127" s="10" t="n"/>
      <c r="M127" s="8" t="n"/>
      <c r="N127" s="8" t="n"/>
      <c r="O127" s="8" t="n"/>
      <c r="P127" s="8" t="n"/>
      <c r="Q127" s="8" t="n"/>
      <c r="R127" s="7" t="n"/>
      <c r="S127" s="12" t="n"/>
      <c r="T127" s="8" t="n"/>
    </row>
    <row r="128" ht="18" customHeight="1">
      <c r="A128" s="6" t="n"/>
      <c r="B128" s="7" t="n"/>
      <c r="C128" s="8" t="n"/>
      <c r="D128" s="9">
        <f>IF(OR(E128="",B128="完了"),"",IF(TODAY()&gt;E128,"超過",IF(TODAY()+3&gt;=E128,"間近","")))</f>
        <v/>
      </c>
      <c r="E128" s="10" t="n"/>
      <c r="F128" s="7" t="n"/>
      <c r="G128" s="7" t="n"/>
      <c r="H128" s="7" t="n"/>
      <c r="I128" s="10" t="n"/>
      <c r="J128" s="11">
        <f>IF(I128="","",IF(K128&lt;&gt;"",K128-I128,TODAY()-I128))</f>
        <v/>
      </c>
      <c r="K128" s="10" t="n"/>
      <c r="L128" s="10" t="n"/>
      <c r="M128" s="8" t="n"/>
      <c r="N128" s="8" t="n"/>
      <c r="O128" s="8" t="n"/>
      <c r="P128" s="8" t="n"/>
      <c r="Q128" s="8" t="n"/>
      <c r="R128" s="7" t="n"/>
      <c r="S128" s="12" t="n"/>
      <c r="T128" s="8" t="n"/>
    </row>
    <row r="129" ht="18" customHeight="1">
      <c r="A129" s="6" t="n"/>
      <c r="B129" s="7" t="n"/>
      <c r="C129" s="8" t="n"/>
      <c r="D129" s="9">
        <f>IF(OR(E129="",B129="完了"),"",IF(TODAY()&gt;E129,"超過",IF(TODAY()+3&gt;=E129,"間近","")))</f>
        <v/>
      </c>
      <c r="E129" s="10" t="n"/>
      <c r="F129" s="7" t="n"/>
      <c r="G129" s="7" t="n"/>
      <c r="H129" s="7" t="n"/>
      <c r="I129" s="10" t="n"/>
      <c r="J129" s="11">
        <f>IF(I129="","",IF(K129&lt;&gt;"",K129-I129,TODAY()-I129))</f>
        <v/>
      </c>
      <c r="K129" s="10" t="n"/>
      <c r="L129" s="10" t="n"/>
      <c r="M129" s="8" t="n"/>
      <c r="N129" s="8" t="n"/>
      <c r="O129" s="8" t="n"/>
      <c r="P129" s="8" t="n"/>
      <c r="Q129" s="8" t="n"/>
      <c r="R129" s="7" t="n"/>
      <c r="S129" s="12" t="n"/>
      <c r="T129" s="8" t="n"/>
    </row>
    <row r="130" ht="18" customHeight="1">
      <c r="A130" s="6" t="n"/>
      <c r="B130" s="7" t="n"/>
      <c r="C130" s="8" t="n"/>
      <c r="D130" s="9">
        <f>IF(OR(E130="",B130="完了"),"",IF(TODAY()&gt;E130,"超過",IF(TODAY()+3&gt;=E130,"間近","")))</f>
        <v/>
      </c>
      <c r="E130" s="10" t="n"/>
      <c r="F130" s="7" t="n"/>
      <c r="G130" s="7" t="n"/>
      <c r="H130" s="7" t="n"/>
      <c r="I130" s="10" t="n"/>
      <c r="J130" s="11">
        <f>IF(I130="","",IF(K130&lt;&gt;"",K130-I130,TODAY()-I130))</f>
        <v/>
      </c>
      <c r="K130" s="10" t="n"/>
      <c r="L130" s="10" t="n"/>
      <c r="M130" s="8" t="n"/>
      <c r="N130" s="8" t="n"/>
      <c r="O130" s="8" t="n"/>
      <c r="P130" s="8" t="n"/>
      <c r="Q130" s="8" t="n"/>
      <c r="R130" s="7" t="n"/>
      <c r="S130" s="12" t="n"/>
      <c r="T130" s="8" t="n"/>
    </row>
    <row r="131" ht="18" customHeight="1">
      <c r="A131" s="6" t="n"/>
      <c r="B131" s="7" t="n"/>
      <c r="C131" s="8" t="n"/>
      <c r="D131" s="9">
        <f>IF(OR(E131="",B131="完了"),"",IF(TODAY()&gt;E131,"超過",IF(TODAY()+3&gt;=E131,"間近","")))</f>
        <v/>
      </c>
      <c r="E131" s="10" t="n"/>
      <c r="F131" s="7" t="n"/>
      <c r="G131" s="7" t="n"/>
      <c r="H131" s="7" t="n"/>
      <c r="I131" s="10" t="n"/>
      <c r="J131" s="11">
        <f>IF(I131="","",IF(K131&lt;&gt;"",K131-I131,TODAY()-I131))</f>
        <v/>
      </c>
      <c r="K131" s="10" t="n"/>
      <c r="L131" s="10" t="n"/>
      <c r="M131" s="8" t="n"/>
      <c r="N131" s="8" t="n"/>
      <c r="O131" s="8" t="n"/>
      <c r="P131" s="8" t="n"/>
      <c r="Q131" s="8" t="n"/>
      <c r="R131" s="7" t="n"/>
      <c r="S131" s="12" t="n"/>
      <c r="T131" s="8" t="n"/>
    </row>
    <row r="132" ht="18" customHeight="1">
      <c r="A132" s="6" t="n"/>
      <c r="B132" s="7" t="n"/>
      <c r="C132" s="8" t="n"/>
      <c r="D132" s="9">
        <f>IF(OR(E132="",B132="完了"),"",IF(TODAY()&gt;E132,"超過",IF(TODAY()+3&gt;=E132,"間近","")))</f>
        <v/>
      </c>
      <c r="E132" s="10" t="n"/>
      <c r="F132" s="7" t="n"/>
      <c r="G132" s="7" t="n"/>
      <c r="H132" s="7" t="n"/>
      <c r="I132" s="10" t="n"/>
      <c r="J132" s="11">
        <f>IF(I132="","",IF(K132&lt;&gt;"",K132-I132,TODAY()-I132))</f>
        <v/>
      </c>
      <c r="K132" s="10" t="n"/>
      <c r="L132" s="10" t="n"/>
      <c r="M132" s="8" t="n"/>
      <c r="N132" s="8" t="n"/>
      <c r="O132" s="8" t="n"/>
      <c r="P132" s="8" t="n"/>
      <c r="Q132" s="8" t="n"/>
      <c r="R132" s="7" t="n"/>
      <c r="S132" s="12" t="n"/>
      <c r="T132" s="8" t="n"/>
    </row>
    <row r="133" ht="18" customHeight="1">
      <c r="A133" s="6" t="n"/>
      <c r="B133" s="7" t="n"/>
      <c r="C133" s="8" t="n"/>
      <c r="D133" s="9">
        <f>IF(OR(E133="",B133="完了"),"",IF(TODAY()&gt;E133,"超過",IF(TODAY()+3&gt;=E133,"間近","")))</f>
        <v/>
      </c>
      <c r="E133" s="10" t="n"/>
      <c r="F133" s="7" t="n"/>
      <c r="G133" s="7" t="n"/>
      <c r="H133" s="7" t="n"/>
      <c r="I133" s="10" t="n"/>
      <c r="J133" s="11">
        <f>IF(I133="","",IF(K133&lt;&gt;"",K133-I133,TODAY()-I133))</f>
        <v/>
      </c>
      <c r="K133" s="10" t="n"/>
      <c r="L133" s="10" t="n"/>
      <c r="M133" s="8" t="n"/>
      <c r="N133" s="8" t="n"/>
      <c r="O133" s="8" t="n"/>
      <c r="P133" s="8" t="n"/>
      <c r="Q133" s="8" t="n"/>
      <c r="R133" s="7" t="n"/>
      <c r="S133" s="12" t="n"/>
      <c r="T133" s="8" t="n"/>
    </row>
    <row r="134" ht="18" customHeight="1">
      <c r="A134" s="6" t="n"/>
      <c r="B134" s="7" t="n"/>
      <c r="C134" s="8" t="n"/>
      <c r="D134" s="9">
        <f>IF(OR(E134="",B134="完了"),"",IF(TODAY()&gt;E134,"超過",IF(TODAY()+3&gt;=E134,"間近","")))</f>
        <v/>
      </c>
      <c r="E134" s="10" t="n"/>
      <c r="F134" s="7" t="n"/>
      <c r="G134" s="7" t="n"/>
      <c r="H134" s="7" t="n"/>
      <c r="I134" s="10" t="n"/>
      <c r="J134" s="11">
        <f>IF(I134="","",IF(K134&lt;&gt;"",K134-I134,TODAY()-I134))</f>
        <v/>
      </c>
      <c r="K134" s="10" t="n"/>
      <c r="L134" s="10" t="n"/>
      <c r="M134" s="8" t="n"/>
      <c r="N134" s="8" t="n"/>
      <c r="O134" s="8" t="n"/>
      <c r="P134" s="8" t="n"/>
      <c r="Q134" s="8" t="n"/>
      <c r="R134" s="7" t="n"/>
      <c r="S134" s="12" t="n"/>
      <c r="T134" s="8" t="n"/>
    </row>
    <row r="135" ht="18" customHeight="1">
      <c r="A135" s="6" t="n"/>
      <c r="B135" s="7" t="n"/>
      <c r="C135" s="8" t="n"/>
      <c r="D135" s="9">
        <f>IF(OR(E135="",B135="完了"),"",IF(TODAY()&gt;E135,"超過",IF(TODAY()+3&gt;=E135,"間近","")))</f>
        <v/>
      </c>
      <c r="E135" s="10" t="n"/>
      <c r="F135" s="7" t="n"/>
      <c r="G135" s="7" t="n"/>
      <c r="H135" s="7" t="n"/>
      <c r="I135" s="10" t="n"/>
      <c r="J135" s="11">
        <f>IF(I135="","",IF(K135&lt;&gt;"",K135-I135,TODAY()-I135))</f>
        <v/>
      </c>
      <c r="K135" s="10" t="n"/>
      <c r="L135" s="10" t="n"/>
      <c r="M135" s="8" t="n"/>
      <c r="N135" s="8" t="n"/>
      <c r="O135" s="8" t="n"/>
      <c r="P135" s="8" t="n"/>
      <c r="Q135" s="8" t="n"/>
      <c r="R135" s="7" t="n"/>
      <c r="S135" s="12" t="n"/>
      <c r="T135" s="8" t="n"/>
    </row>
    <row r="136" ht="18" customHeight="1">
      <c r="A136" s="6" t="n"/>
      <c r="B136" s="7" t="n"/>
      <c r="C136" s="8" t="n"/>
      <c r="D136" s="9">
        <f>IF(OR(E136="",B136="完了"),"",IF(TODAY()&gt;E136,"超過",IF(TODAY()+3&gt;=E136,"間近","")))</f>
        <v/>
      </c>
      <c r="E136" s="10" t="n"/>
      <c r="F136" s="7" t="n"/>
      <c r="G136" s="7" t="n"/>
      <c r="H136" s="7" t="n"/>
      <c r="I136" s="10" t="n"/>
      <c r="J136" s="11">
        <f>IF(I136="","",IF(K136&lt;&gt;"",K136-I136,TODAY()-I136))</f>
        <v/>
      </c>
      <c r="K136" s="10" t="n"/>
      <c r="L136" s="10" t="n"/>
      <c r="M136" s="8" t="n"/>
      <c r="N136" s="8" t="n"/>
      <c r="O136" s="8" t="n"/>
      <c r="P136" s="8" t="n"/>
      <c r="Q136" s="8" t="n"/>
      <c r="R136" s="7" t="n"/>
      <c r="S136" s="12" t="n"/>
      <c r="T136" s="8" t="n"/>
    </row>
    <row r="137" ht="18" customHeight="1">
      <c r="A137" s="6" t="n"/>
      <c r="B137" s="7" t="n"/>
      <c r="C137" s="8" t="n"/>
      <c r="D137" s="9">
        <f>IF(OR(E137="",B137="完了"),"",IF(TODAY()&gt;E137,"超過",IF(TODAY()+3&gt;=E137,"間近","")))</f>
        <v/>
      </c>
      <c r="E137" s="10" t="n"/>
      <c r="F137" s="7" t="n"/>
      <c r="G137" s="7" t="n"/>
      <c r="H137" s="7" t="n"/>
      <c r="I137" s="10" t="n"/>
      <c r="J137" s="11">
        <f>IF(I137="","",IF(K137&lt;&gt;"",K137-I137,TODAY()-I137))</f>
        <v/>
      </c>
      <c r="K137" s="10" t="n"/>
      <c r="L137" s="10" t="n"/>
      <c r="M137" s="8" t="n"/>
      <c r="N137" s="8" t="n"/>
      <c r="O137" s="8" t="n"/>
      <c r="P137" s="8" t="n"/>
      <c r="Q137" s="8" t="n"/>
      <c r="R137" s="7" t="n"/>
      <c r="S137" s="12" t="n"/>
      <c r="T137" s="8" t="n"/>
    </row>
    <row r="138" ht="18" customHeight="1">
      <c r="A138" s="6" t="n"/>
      <c r="B138" s="7" t="n"/>
      <c r="C138" s="8" t="n"/>
      <c r="D138" s="9">
        <f>IF(OR(E138="",B138="完了"),"",IF(TODAY()&gt;E138,"超過",IF(TODAY()+3&gt;=E138,"間近","")))</f>
        <v/>
      </c>
      <c r="E138" s="10" t="n"/>
      <c r="F138" s="7" t="n"/>
      <c r="G138" s="7" t="n"/>
      <c r="H138" s="7" t="n"/>
      <c r="I138" s="10" t="n"/>
      <c r="J138" s="11">
        <f>IF(I138="","",IF(K138&lt;&gt;"",K138-I138,TODAY()-I138))</f>
        <v/>
      </c>
      <c r="K138" s="10" t="n"/>
      <c r="L138" s="10" t="n"/>
      <c r="M138" s="8" t="n"/>
      <c r="N138" s="8" t="n"/>
      <c r="O138" s="8" t="n"/>
      <c r="P138" s="8" t="n"/>
      <c r="Q138" s="8" t="n"/>
      <c r="R138" s="7" t="n"/>
      <c r="S138" s="12" t="n"/>
      <c r="T138" s="8" t="n"/>
    </row>
    <row r="139" ht="18" customHeight="1">
      <c r="A139" s="6" t="n"/>
      <c r="B139" s="7" t="n"/>
      <c r="C139" s="8" t="n"/>
      <c r="D139" s="9">
        <f>IF(OR(E139="",B139="完了"),"",IF(TODAY()&gt;E139,"超過",IF(TODAY()+3&gt;=E139,"間近","")))</f>
        <v/>
      </c>
      <c r="E139" s="10" t="n"/>
      <c r="F139" s="7" t="n"/>
      <c r="G139" s="7" t="n"/>
      <c r="H139" s="7" t="n"/>
      <c r="I139" s="10" t="n"/>
      <c r="J139" s="11">
        <f>IF(I139="","",IF(K139&lt;&gt;"",K139-I139,TODAY()-I139))</f>
        <v/>
      </c>
      <c r="K139" s="10" t="n"/>
      <c r="L139" s="10" t="n"/>
      <c r="M139" s="8" t="n"/>
      <c r="N139" s="8" t="n"/>
      <c r="O139" s="8" t="n"/>
      <c r="P139" s="8" t="n"/>
      <c r="Q139" s="8" t="n"/>
      <c r="R139" s="7" t="n"/>
      <c r="S139" s="12" t="n"/>
      <c r="T139" s="8" t="n"/>
    </row>
    <row r="140" ht="18" customHeight="1">
      <c r="A140" s="6" t="n"/>
      <c r="B140" s="7" t="n"/>
      <c r="C140" s="8" t="n"/>
      <c r="D140" s="9">
        <f>IF(OR(E140="",B140="完了"),"",IF(TODAY()&gt;E140,"超過",IF(TODAY()+3&gt;=E140,"間近","")))</f>
        <v/>
      </c>
      <c r="E140" s="10" t="n"/>
      <c r="F140" s="7" t="n"/>
      <c r="G140" s="7" t="n"/>
      <c r="H140" s="7" t="n"/>
      <c r="I140" s="10" t="n"/>
      <c r="J140" s="11">
        <f>IF(I140="","",IF(K140&lt;&gt;"",K140-I140,TODAY()-I140))</f>
        <v/>
      </c>
      <c r="K140" s="10" t="n"/>
      <c r="L140" s="10" t="n"/>
      <c r="M140" s="8" t="n"/>
      <c r="N140" s="8" t="n"/>
      <c r="O140" s="8" t="n"/>
      <c r="P140" s="8" t="n"/>
      <c r="Q140" s="8" t="n"/>
      <c r="R140" s="7" t="n"/>
      <c r="S140" s="12" t="n"/>
      <c r="T140" s="8" t="n"/>
    </row>
    <row r="141" ht="18" customHeight="1">
      <c r="A141" s="6" t="n"/>
      <c r="B141" s="7" t="n"/>
      <c r="C141" s="8" t="n"/>
      <c r="D141" s="9">
        <f>IF(OR(E141="",B141="完了"),"",IF(TODAY()&gt;E141,"超過",IF(TODAY()+3&gt;=E141,"間近","")))</f>
        <v/>
      </c>
      <c r="E141" s="10" t="n"/>
      <c r="F141" s="7" t="n"/>
      <c r="G141" s="7" t="n"/>
      <c r="H141" s="7" t="n"/>
      <c r="I141" s="10" t="n"/>
      <c r="J141" s="11">
        <f>IF(I141="","",IF(K141&lt;&gt;"",K141-I141,TODAY()-I141))</f>
        <v/>
      </c>
      <c r="K141" s="10" t="n"/>
      <c r="L141" s="10" t="n"/>
      <c r="M141" s="8" t="n"/>
      <c r="N141" s="8" t="n"/>
      <c r="O141" s="8" t="n"/>
      <c r="P141" s="8" t="n"/>
      <c r="Q141" s="8" t="n"/>
      <c r="R141" s="7" t="n"/>
      <c r="S141" s="12" t="n"/>
      <c r="T141" s="8" t="n"/>
    </row>
    <row r="142" ht="18" customHeight="1">
      <c r="A142" s="6" t="n"/>
      <c r="B142" s="7" t="n"/>
      <c r="C142" s="8" t="n"/>
      <c r="D142" s="9">
        <f>IF(OR(E142="",B142="完了"),"",IF(TODAY()&gt;E142,"超過",IF(TODAY()+3&gt;=E142,"間近","")))</f>
        <v/>
      </c>
      <c r="E142" s="10" t="n"/>
      <c r="F142" s="7" t="n"/>
      <c r="G142" s="7" t="n"/>
      <c r="H142" s="7" t="n"/>
      <c r="I142" s="10" t="n"/>
      <c r="J142" s="11">
        <f>IF(I142="","",IF(K142&lt;&gt;"",K142-I142,TODAY()-I142))</f>
        <v/>
      </c>
      <c r="K142" s="10" t="n"/>
      <c r="L142" s="10" t="n"/>
      <c r="M142" s="8" t="n"/>
      <c r="N142" s="8" t="n"/>
      <c r="O142" s="8" t="n"/>
      <c r="P142" s="8" t="n"/>
      <c r="Q142" s="8" t="n"/>
      <c r="R142" s="7" t="n"/>
      <c r="S142" s="12" t="n"/>
      <c r="T142" s="8" t="n"/>
    </row>
    <row r="143" ht="18" customHeight="1">
      <c r="A143" s="6" t="n"/>
      <c r="B143" s="7" t="n"/>
      <c r="C143" s="8" t="n"/>
      <c r="D143" s="9">
        <f>IF(OR(E143="",B143="完了"),"",IF(TODAY()&gt;E143,"超過",IF(TODAY()+3&gt;=E143,"間近","")))</f>
        <v/>
      </c>
      <c r="E143" s="10" t="n"/>
      <c r="F143" s="7" t="n"/>
      <c r="G143" s="7" t="n"/>
      <c r="H143" s="7" t="n"/>
      <c r="I143" s="10" t="n"/>
      <c r="J143" s="11">
        <f>IF(I143="","",IF(K143&lt;&gt;"",K143-I143,TODAY()-I143))</f>
        <v/>
      </c>
      <c r="K143" s="10" t="n"/>
      <c r="L143" s="10" t="n"/>
      <c r="M143" s="8" t="n"/>
      <c r="N143" s="8" t="n"/>
      <c r="O143" s="8" t="n"/>
      <c r="P143" s="8" t="n"/>
      <c r="Q143" s="8" t="n"/>
      <c r="R143" s="7" t="n"/>
      <c r="S143" s="12" t="n"/>
      <c r="T143" s="8" t="n"/>
    </row>
    <row r="144" ht="18" customHeight="1">
      <c r="A144" s="6" t="n"/>
      <c r="B144" s="7" t="n"/>
      <c r="C144" s="8" t="n"/>
      <c r="D144" s="9">
        <f>IF(OR(E144="",B144="完了"),"",IF(TODAY()&gt;E144,"超過",IF(TODAY()+3&gt;=E144,"間近","")))</f>
        <v/>
      </c>
      <c r="E144" s="10" t="n"/>
      <c r="F144" s="7" t="n"/>
      <c r="G144" s="7" t="n"/>
      <c r="H144" s="7" t="n"/>
      <c r="I144" s="10" t="n"/>
      <c r="J144" s="11">
        <f>IF(I144="","",IF(K144&lt;&gt;"",K144-I144,TODAY()-I144))</f>
        <v/>
      </c>
      <c r="K144" s="10" t="n"/>
      <c r="L144" s="10" t="n"/>
      <c r="M144" s="8" t="n"/>
      <c r="N144" s="8" t="n"/>
      <c r="O144" s="8" t="n"/>
      <c r="P144" s="8" t="n"/>
      <c r="Q144" s="8" t="n"/>
      <c r="R144" s="7" t="n"/>
      <c r="S144" s="12" t="n"/>
      <c r="T144" s="8" t="n"/>
    </row>
    <row r="145" ht="18" customHeight="1">
      <c r="A145" s="6" t="n"/>
      <c r="B145" s="7" t="n"/>
      <c r="C145" s="8" t="n"/>
      <c r="D145" s="9">
        <f>IF(OR(E145="",B145="完了"),"",IF(TODAY()&gt;E145,"超過",IF(TODAY()+3&gt;=E145,"間近","")))</f>
        <v/>
      </c>
      <c r="E145" s="10" t="n"/>
      <c r="F145" s="7" t="n"/>
      <c r="G145" s="7" t="n"/>
      <c r="H145" s="7" t="n"/>
      <c r="I145" s="10" t="n"/>
      <c r="J145" s="11">
        <f>IF(I145="","",IF(K145&lt;&gt;"",K145-I145,TODAY()-I145))</f>
        <v/>
      </c>
      <c r="K145" s="10" t="n"/>
      <c r="L145" s="10" t="n"/>
      <c r="M145" s="8" t="n"/>
      <c r="N145" s="8" t="n"/>
      <c r="O145" s="8" t="n"/>
      <c r="P145" s="8" t="n"/>
      <c r="Q145" s="8" t="n"/>
      <c r="R145" s="7" t="n"/>
      <c r="S145" s="12" t="n"/>
      <c r="T145" s="8" t="n"/>
    </row>
    <row r="146" ht="18" customHeight="1">
      <c r="A146" s="6" t="n"/>
      <c r="B146" s="7" t="n"/>
      <c r="C146" s="8" t="n"/>
      <c r="D146" s="9">
        <f>IF(OR(E146="",B146="完了"),"",IF(TODAY()&gt;E146,"超過",IF(TODAY()+3&gt;=E146,"間近","")))</f>
        <v/>
      </c>
      <c r="E146" s="10" t="n"/>
      <c r="F146" s="7" t="n"/>
      <c r="G146" s="7" t="n"/>
      <c r="H146" s="7" t="n"/>
      <c r="I146" s="10" t="n"/>
      <c r="J146" s="11">
        <f>IF(I146="","",IF(K146&lt;&gt;"",K146-I146,TODAY()-I146))</f>
        <v/>
      </c>
      <c r="K146" s="10" t="n"/>
      <c r="L146" s="10" t="n"/>
      <c r="M146" s="8" t="n"/>
      <c r="N146" s="8" t="n"/>
      <c r="O146" s="8" t="n"/>
      <c r="P146" s="8" t="n"/>
      <c r="Q146" s="8" t="n"/>
      <c r="R146" s="7" t="n"/>
      <c r="S146" s="12" t="n"/>
      <c r="T146" s="8" t="n"/>
    </row>
    <row r="147" ht="18" customHeight="1">
      <c r="A147" s="6" t="n"/>
      <c r="B147" s="7" t="n"/>
      <c r="C147" s="8" t="n"/>
      <c r="D147" s="9">
        <f>IF(OR(E147="",B147="完了"),"",IF(TODAY()&gt;E147,"超過",IF(TODAY()+3&gt;=E147,"間近","")))</f>
        <v/>
      </c>
      <c r="E147" s="10" t="n"/>
      <c r="F147" s="7" t="n"/>
      <c r="G147" s="7" t="n"/>
      <c r="H147" s="7" t="n"/>
      <c r="I147" s="10" t="n"/>
      <c r="J147" s="11">
        <f>IF(I147="","",IF(K147&lt;&gt;"",K147-I147,TODAY()-I147))</f>
        <v/>
      </c>
      <c r="K147" s="10" t="n"/>
      <c r="L147" s="10" t="n"/>
      <c r="M147" s="8" t="n"/>
      <c r="N147" s="8" t="n"/>
      <c r="O147" s="8" t="n"/>
      <c r="P147" s="8" t="n"/>
      <c r="Q147" s="8" t="n"/>
      <c r="R147" s="7" t="n"/>
      <c r="S147" s="12" t="n"/>
      <c r="T147" s="8" t="n"/>
    </row>
    <row r="148" ht="18" customHeight="1">
      <c r="A148" s="6" t="n"/>
      <c r="B148" s="7" t="n"/>
      <c r="C148" s="8" t="n"/>
      <c r="D148" s="9">
        <f>IF(OR(E148="",B148="完了"),"",IF(TODAY()&gt;E148,"超過",IF(TODAY()+3&gt;=E148,"間近","")))</f>
        <v/>
      </c>
      <c r="E148" s="10" t="n"/>
      <c r="F148" s="7" t="n"/>
      <c r="G148" s="7" t="n"/>
      <c r="H148" s="7" t="n"/>
      <c r="I148" s="10" t="n"/>
      <c r="J148" s="11">
        <f>IF(I148="","",IF(K148&lt;&gt;"",K148-I148,TODAY()-I148))</f>
        <v/>
      </c>
      <c r="K148" s="10" t="n"/>
      <c r="L148" s="10" t="n"/>
      <c r="M148" s="8" t="n"/>
      <c r="N148" s="8" t="n"/>
      <c r="O148" s="8" t="n"/>
      <c r="P148" s="8" t="n"/>
      <c r="Q148" s="8" t="n"/>
      <c r="R148" s="7" t="n"/>
      <c r="S148" s="12" t="n"/>
      <c r="T148" s="8" t="n"/>
    </row>
    <row r="149" ht="18" customHeight="1">
      <c r="A149" s="6" t="n"/>
      <c r="B149" s="7" t="n"/>
      <c r="C149" s="8" t="n"/>
      <c r="D149" s="9">
        <f>IF(OR(E149="",B149="完了"),"",IF(TODAY()&gt;E149,"超過",IF(TODAY()+3&gt;=E149,"間近","")))</f>
        <v/>
      </c>
      <c r="E149" s="10" t="n"/>
      <c r="F149" s="7" t="n"/>
      <c r="G149" s="7" t="n"/>
      <c r="H149" s="7" t="n"/>
      <c r="I149" s="10" t="n"/>
      <c r="J149" s="11">
        <f>IF(I149="","",IF(K149&lt;&gt;"",K149-I149,TODAY()-I149))</f>
        <v/>
      </c>
      <c r="K149" s="10" t="n"/>
      <c r="L149" s="10" t="n"/>
      <c r="M149" s="8" t="n"/>
      <c r="N149" s="8" t="n"/>
      <c r="O149" s="8" t="n"/>
      <c r="P149" s="8" t="n"/>
      <c r="Q149" s="8" t="n"/>
      <c r="R149" s="7" t="n"/>
      <c r="S149" s="12" t="n"/>
      <c r="T149" s="8" t="n"/>
    </row>
    <row r="150" ht="18" customHeight="1">
      <c r="A150" s="6" t="n"/>
      <c r="B150" s="7" t="n"/>
      <c r="C150" s="8" t="n"/>
      <c r="D150" s="9">
        <f>IF(OR(E150="",B150="完了"),"",IF(TODAY()&gt;E150,"超過",IF(TODAY()+3&gt;=E150,"間近","")))</f>
        <v/>
      </c>
      <c r="E150" s="10" t="n"/>
      <c r="F150" s="7" t="n"/>
      <c r="G150" s="7" t="n"/>
      <c r="H150" s="7" t="n"/>
      <c r="I150" s="10" t="n"/>
      <c r="J150" s="11">
        <f>IF(I150="","",IF(K150&lt;&gt;"",K150-I150,TODAY()-I150))</f>
        <v/>
      </c>
      <c r="K150" s="10" t="n"/>
      <c r="L150" s="10" t="n"/>
      <c r="M150" s="8" t="n"/>
      <c r="N150" s="8" t="n"/>
      <c r="O150" s="8" t="n"/>
      <c r="P150" s="8" t="n"/>
      <c r="Q150" s="8" t="n"/>
      <c r="R150" s="7" t="n"/>
      <c r="S150" s="12" t="n"/>
      <c r="T150" s="8" t="n"/>
    </row>
    <row r="151" ht="18" customHeight="1">
      <c r="A151" s="6" t="n"/>
      <c r="B151" s="7" t="n"/>
      <c r="C151" s="8" t="n"/>
      <c r="D151" s="9">
        <f>IF(OR(E151="",B151="完了"),"",IF(TODAY()&gt;E151,"超過",IF(TODAY()+3&gt;=E151,"間近","")))</f>
        <v/>
      </c>
      <c r="E151" s="10" t="n"/>
      <c r="F151" s="7" t="n"/>
      <c r="G151" s="7" t="n"/>
      <c r="H151" s="7" t="n"/>
      <c r="I151" s="10" t="n"/>
      <c r="J151" s="11">
        <f>IF(I151="","",IF(K151&lt;&gt;"",K151-I151,TODAY()-I151))</f>
        <v/>
      </c>
      <c r="K151" s="10" t="n"/>
      <c r="L151" s="10" t="n"/>
      <c r="M151" s="8" t="n"/>
      <c r="N151" s="8" t="n"/>
      <c r="O151" s="8" t="n"/>
      <c r="P151" s="8" t="n"/>
      <c r="Q151" s="8" t="n"/>
      <c r="R151" s="7" t="n"/>
      <c r="S151" s="12" t="n"/>
      <c r="T151" s="8" t="n"/>
    </row>
    <row r="152" ht="18" customHeight="1">
      <c r="A152" s="6" t="n"/>
      <c r="B152" s="7" t="n"/>
      <c r="C152" s="8" t="n"/>
      <c r="D152" s="9">
        <f>IF(OR(E152="",B152="完了"),"",IF(TODAY()&gt;E152,"超過",IF(TODAY()+3&gt;=E152,"間近","")))</f>
        <v/>
      </c>
      <c r="E152" s="10" t="n"/>
      <c r="F152" s="7" t="n"/>
      <c r="G152" s="7" t="n"/>
      <c r="H152" s="7" t="n"/>
      <c r="I152" s="10" t="n"/>
      <c r="J152" s="11">
        <f>IF(I152="","",IF(K152&lt;&gt;"",K152-I152,TODAY()-I152))</f>
        <v/>
      </c>
      <c r="K152" s="10" t="n"/>
      <c r="L152" s="10" t="n"/>
      <c r="M152" s="8" t="n"/>
      <c r="N152" s="8" t="n"/>
      <c r="O152" s="8" t="n"/>
      <c r="P152" s="8" t="n"/>
      <c r="Q152" s="8" t="n"/>
      <c r="R152" s="7" t="n"/>
      <c r="S152" s="12" t="n"/>
      <c r="T152" s="8" t="n"/>
    </row>
    <row r="153" ht="18" customHeight="1">
      <c r="A153" s="6" t="n"/>
      <c r="B153" s="7" t="n"/>
      <c r="C153" s="8" t="n"/>
      <c r="D153" s="9">
        <f>IF(OR(E153="",B153="完了"),"",IF(TODAY()&gt;E153,"超過",IF(TODAY()+3&gt;=E153,"間近","")))</f>
        <v/>
      </c>
      <c r="E153" s="10" t="n"/>
      <c r="F153" s="7" t="n"/>
      <c r="G153" s="7" t="n"/>
      <c r="H153" s="7" t="n"/>
      <c r="I153" s="10" t="n"/>
      <c r="J153" s="11">
        <f>IF(I153="","",IF(K153&lt;&gt;"",K153-I153,TODAY()-I153))</f>
        <v/>
      </c>
      <c r="K153" s="10" t="n"/>
      <c r="L153" s="10" t="n"/>
      <c r="M153" s="8" t="n"/>
      <c r="N153" s="8" t="n"/>
      <c r="O153" s="8" t="n"/>
      <c r="P153" s="8" t="n"/>
      <c r="Q153" s="8" t="n"/>
      <c r="R153" s="7" t="n"/>
      <c r="S153" s="12" t="n"/>
      <c r="T153" s="8" t="n"/>
    </row>
    <row r="154" ht="18" customHeight="1">
      <c r="A154" s="6" t="n"/>
      <c r="B154" s="7" t="n"/>
      <c r="C154" s="8" t="n"/>
      <c r="D154" s="9">
        <f>IF(OR(E154="",B154="完了"),"",IF(TODAY()&gt;E154,"超過",IF(TODAY()+3&gt;=E154,"間近","")))</f>
        <v/>
      </c>
      <c r="E154" s="10" t="n"/>
      <c r="F154" s="7" t="n"/>
      <c r="G154" s="7" t="n"/>
      <c r="H154" s="7" t="n"/>
      <c r="I154" s="10" t="n"/>
      <c r="J154" s="11">
        <f>IF(I154="","",IF(K154&lt;&gt;"",K154-I154,TODAY()-I154))</f>
        <v/>
      </c>
      <c r="K154" s="10" t="n"/>
      <c r="L154" s="10" t="n"/>
      <c r="M154" s="8" t="n"/>
      <c r="N154" s="8" t="n"/>
      <c r="O154" s="8" t="n"/>
      <c r="P154" s="8" t="n"/>
      <c r="Q154" s="8" t="n"/>
      <c r="R154" s="7" t="n"/>
      <c r="S154" s="12" t="n"/>
      <c r="T154" s="8" t="n"/>
    </row>
    <row r="155" ht="18" customHeight="1">
      <c r="A155" s="6" t="n"/>
      <c r="B155" s="7" t="n"/>
      <c r="C155" s="8" t="n"/>
      <c r="D155" s="9">
        <f>IF(OR(E155="",B155="完了"),"",IF(TODAY()&gt;E155,"超過",IF(TODAY()+3&gt;=E155,"間近","")))</f>
        <v/>
      </c>
      <c r="E155" s="10" t="n"/>
      <c r="F155" s="7" t="n"/>
      <c r="G155" s="7" t="n"/>
      <c r="H155" s="7" t="n"/>
      <c r="I155" s="10" t="n"/>
      <c r="J155" s="11">
        <f>IF(I155="","",IF(K155&lt;&gt;"",K155-I155,TODAY()-I155))</f>
        <v/>
      </c>
      <c r="K155" s="10" t="n"/>
      <c r="L155" s="10" t="n"/>
      <c r="M155" s="8" t="n"/>
      <c r="N155" s="8" t="n"/>
      <c r="O155" s="8" t="n"/>
      <c r="P155" s="8" t="n"/>
      <c r="Q155" s="8" t="n"/>
      <c r="R155" s="7" t="n"/>
      <c r="S155" s="12" t="n"/>
      <c r="T155" s="8" t="n"/>
    </row>
    <row r="156" ht="18" customHeight="1">
      <c r="A156" s="6" t="n"/>
      <c r="B156" s="7" t="n"/>
      <c r="C156" s="8" t="n"/>
      <c r="D156" s="9">
        <f>IF(OR(E156="",B156="完了"),"",IF(TODAY()&gt;E156,"超過",IF(TODAY()+3&gt;=E156,"間近","")))</f>
        <v/>
      </c>
      <c r="E156" s="10" t="n"/>
      <c r="F156" s="7" t="n"/>
      <c r="G156" s="7" t="n"/>
      <c r="H156" s="7" t="n"/>
      <c r="I156" s="10" t="n"/>
      <c r="J156" s="11">
        <f>IF(I156="","",IF(K156&lt;&gt;"",K156-I156,TODAY()-I156))</f>
        <v/>
      </c>
      <c r="K156" s="10" t="n"/>
      <c r="L156" s="10" t="n"/>
      <c r="M156" s="8" t="n"/>
      <c r="N156" s="8" t="n"/>
      <c r="O156" s="8" t="n"/>
      <c r="P156" s="8" t="n"/>
      <c r="Q156" s="8" t="n"/>
      <c r="R156" s="7" t="n"/>
      <c r="S156" s="12" t="n"/>
      <c r="T156" s="8" t="n"/>
    </row>
    <row r="157" ht="18" customHeight="1">
      <c r="A157" s="6" t="n"/>
      <c r="B157" s="7" t="n"/>
      <c r="C157" s="8" t="n"/>
      <c r="D157" s="9">
        <f>IF(OR(E157="",B157="完了"),"",IF(TODAY()&gt;E157,"超過",IF(TODAY()+3&gt;=E157,"間近","")))</f>
        <v/>
      </c>
      <c r="E157" s="10" t="n"/>
      <c r="F157" s="7" t="n"/>
      <c r="G157" s="7" t="n"/>
      <c r="H157" s="7" t="n"/>
      <c r="I157" s="10" t="n"/>
      <c r="J157" s="11">
        <f>IF(I157="","",IF(K157&lt;&gt;"",K157-I157,TODAY()-I157))</f>
        <v/>
      </c>
      <c r="K157" s="10" t="n"/>
      <c r="L157" s="10" t="n"/>
      <c r="M157" s="8" t="n"/>
      <c r="N157" s="8" t="n"/>
      <c r="O157" s="8" t="n"/>
      <c r="P157" s="8" t="n"/>
      <c r="Q157" s="8" t="n"/>
      <c r="R157" s="7" t="n"/>
      <c r="S157" s="12" t="n"/>
      <c r="T157" s="8" t="n"/>
    </row>
    <row r="158" ht="18" customHeight="1">
      <c r="A158" s="6" t="n"/>
      <c r="B158" s="7" t="n"/>
      <c r="C158" s="8" t="n"/>
      <c r="D158" s="9">
        <f>IF(OR(E158="",B158="完了"),"",IF(TODAY()&gt;E158,"超過",IF(TODAY()+3&gt;=E158,"間近","")))</f>
        <v/>
      </c>
      <c r="E158" s="10" t="n"/>
      <c r="F158" s="7" t="n"/>
      <c r="G158" s="7" t="n"/>
      <c r="H158" s="7" t="n"/>
      <c r="I158" s="10" t="n"/>
      <c r="J158" s="11">
        <f>IF(I158="","",IF(K158&lt;&gt;"",K158-I158,TODAY()-I158))</f>
        <v/>
      </c>
      <c r="K158" s="10" t="n"/>
      <c r="L158" s="10" t="n"/>
      <c r="M158" s="8" t="n"/>
      <c r="N158" s="8" t="n"/>
      <c r="O158" s="8" t="n"/>
      <c r="P158" s="8" t="n"/>
      <c r="Q158" s="8" t="n"/>
      <c r="R158" s="7" t="n"/>
      <c r="S158" s="12" t="n"/>
      <c r="T158" s="8" t="n"/>
    </row>
    <row r="159" ht="18" customHeight="1">
      <c r="A159" s="6" t="n"/>
      <c r="B159" s="7" t="n"/>
      <c r="C159" s="8" t="n"/>
      <c r="D159" s="9">
        <f>IF(OR(E159="",B159="完了"),"",IF(TODAY()&gt;E159,"超過",IF(TODAY()+3&gt;=E159,"間近","")))</f>
        <v/>
      </c>
      <c r="E159" s="10" t="n"/>
      <c r="F159" s="7" t="n"/>
      <c r="G159" s="7" t="n"/>
      <c r="H159" s="7" t="n"/>
      <c r="I159" s="10" t="n"/>
      <c r="J159" s="11">
        <f>IF(I159="","",IF(K159&lt;&gt;"",K159-I159,TODAY()-I159))</f>
        <v/>
      </c>
      <c r="K159" s="10" t="n"/>
      <c r="L159" s="10" t="n"/>
      <c r="M159" s="8" t="n"/>
      <c r="N159" s="8" t="n"/>
      <c r="O159" s="8" t="n"/>
      <c r="P159" s="8" t="n"/>
      <c r="Q159" s="8" t="n"/>
      <c r="R159" s="7" t="n"/>
      <c r="S159" s="12" t="n"/>
      <c r="T159" s="8" t="n"/>
    </row>
    <row r="160" ht="18" customHeight="1">
      <c r="A160" s="6" t="n"/>
      <c r="B160" s="7" t="n"/>
      <c r="C160" s="8" t="n"/>
      <c r="D160" s="9">
        <f>IF(OR(E160="",B160="完了"),"",IF(TODAY()&gt;E160,"超過",IF(TODAY()+3&gt;=E160,"間近","")))</f>
        <v/>
      </c>
      <c r="E160" s="10" t="n"/>
      <c r="F160" s="7" t="n"/>
      <c r="G160" s="7" t="n"/>
      <c r="H160" s="7" t="n"/>
      <c r="I160" s="10" t="n"/>
      <c r="J160" s="11">
        <f>IF(I160="","",IF(K160&lt;&gt;"",K160-I160,TODAY()-I160))</f>
        <v/>
      </c>
      <c r="K160" s="10" t="n"/>
      <c r="L160" s="10" t="n"/>
      <c r="M160" s="8" t="n"/>
      <c r="N160" s="8" t="n"/>
      <c r="O160" s="8" t="n"/>
      <c r="P160" s="8" t="n"/>
      <c r="Q160" s="8" t="n"/>
      <c r="R160" s="7" t="n"/>
      <c r="S160" s="12" t="n"/>
      <c r="T160" s="8" t="n"/>
    </row>
    <row r="161" ht="18" customHeight="1">
      <c r="A161" s="6" t="n"/>
      <c r="B161" s="7" t="n"/>
      <c r="C161" s="8" t="n"/>
      <c r="D161" s="9">
        <f>IF(OR(E161="",B161="完了"),"",IF(TODAY()&gt;E161,"超過",IF(TODAY()+3&gt;=E161,"間近","")))</f>
        <v/>
      </c>
      <c r="E161" s="10" t="n"/>
      <c r="F161" s="7" t="n"/>
      <c r="G161" s="7" t="n"/>
      <c r="H161" s="7" t="n"/>
      <c r="I161" s="10" t="n"/>
      <c r="J161" s="11">
        <f>IF(I161="","",IF(K161&lt;&gt;"",K161-I161,TODAY()-I161))</f>
        <v/>
      </c>
      <c r="K161" s="10" t="n"/>
      <c r="L161" s="10" t="n"/>
      <c r="M161" s="8" t="n"/>
      <c r="N161" s="8" t="n"/>
      <c r="O161" s="8" t="n"/>
      <c r="P161" s="8" t="n"/>
      <c r="Q161" s="8" t="n"/>
      <c r="R161" s="7" t="n"/>
      <c r="S161" s="12" t="n"/>
      <c r="T161" s="8" t="n"/>
    </row>
    <row r="162" ht="18" customHeight="1">
      <c r="A162" s="6" t="n"/>
      <c r="B162" s="7" t="n"/>
      <c r="C162" s="8" t="n"/>
      <c r="D162" s="9">
        <f>IF(OR(E162="",B162="完了"),"",IF(TODAY()&gt;E162,"超過",IF(TODAY()+3&gt;=E162,"間近","")))</f>
        <v/>
      </c>
      <c r="E162" s="10" t="n"/>
      <c r="F162" s="7" t="n"/>
      <c r="G162" s="7" t="n"/>
      <c r="H162" s="7" t="n"/>
      <c r="I162" s="10" t="n"/>
      <c r="J162" s="11">
        <f>IF(I162="","",IF(K162&lt;&gt;"",K162-I162,TODAY()-I162))</f>
        <v/>
      </c>
      <c r="K162" s="10" t="n"/>
      <c r="L162" s="10" t="n"/>
      <c r="M162" s="8" t="n"/>
      <c r="N162" s="8" t="n"/>
      <c r="O162" s="8" t="n"/>
      <c r="P162" s="8" t="n"/>
      <c r="Q162" s="8" t="n"/>
      <c r="R162" s="7" t="n"/>
      <c r="S162" s="12" t="n"/>
      <c r="T162" s="8" t="n"/>
    </row>
    <row r="163" ht="18" customHeight="1">
      <c r="A163" s="6" t="n"/>
      <c r="B163" s="7" t="n"/>
      <c r="C163" s="8" t="n"/>
      <c r="D163" s="9">
        <f>IF(OR(E163="",B163="完了"),"",IF(TODAY()&gt;E163,"超過",IF(TODAY()+3&gt;=E163,"間近","")))</f>
        <v/>
      </c>
      <c r="E163" s="10" t="n"/>
      <c r="F163" s="7" t="n"/>
      <c r="G163" s="7" t="n"/>
      <c r="H163" s="7" t="n"/>
      <c r="I163" s="10" t="n"/>
      <c r="J163" s="11">
        <f>IF(I163="","",IF(K163&lt;&gt;"",K163-I163,TODAY()-I163))</f>
        <v/>
      </c>
      <c r="K163" s="10" t="n"/>
      <c r="L163" s="10" t="n"/>
      <c r="M163" s="8" t="n"/>
      <c r="N163" s="8" t="n"/>
      <c r="O163" s="8" t="n"/>
      <c r="P163" s="8" t="n"/>
      <c r="Q163" s="8" t="n"/>
      <c r="R163" s="7" t="n"/>
      <c r="S163" s="12" t="n"/>
      <c r="T163" s="8" t="n"/>
    </row>
    <row r="164" ht="18" customHeight="1">
      <c r="A164" s="6" t="n"/>
      <c r="B164" s="7" t="n"/>
      <c r="C164" s="8" t="n"/>
      <c r="D164" s="9">
        <f>IF(OR(E164="",B164="完了"),"",IF(TODAY()&gt;E164,"超過",IF(TODAY()+3&gt;=E164,"間近","")))</f>
        <v/>
      </c>
      <c r="E164" s="10" t="n"/>
      <c r="F164" s="7" t="n"/>
      <c r="G164" s="7" t="n"/>
      <c r="H164" s="7" t="n"/>
      <c r="I164" s="10" t="n"/>
      <c r="J164" s="11">
        <f>IF(I164="","",IF(K164&lt;&gt;"",K164-I164,TODAY()-I164))</f>
        <v/>
      </c>
      <c r="K164" s="10" t="n"/>
      <c r="L164" s="10" t="n"/>
      <c r="M164" s="8" t="n"/>
      <c r="N164" s="8" t="n"/>
      <c r="O164" s="8" t="n"/>
      <c r="P164" s="8" t="n"/>
      <c r="Q164" s="8" t="n"/>
      <c r="R164" s="7" t="n"/>
      <c r="S164" s="12" t="n"/>
      <c r="T164" s="8" t="n"/>
    </row>
    <row r="165" ht="18" customHeight="1">
      <c r="A165" s="6" t="n"/>
      <c r="B165" s="7" t="n"/>
      <c r="C165" s="8" t="n"/>
      <c r="D165" s="9">
        <f>IF(OR(E165="",B165="完了"),"",IF(TODAY()&gt;E165,"超過",IF(TODAY()+3&gt;=E165,"間近","")))</f>
        <v/>
      </c>
      <c r="E165" s="10" t="n"/>
      <c r="F165" s="7" t="n"/>
      <c r="G165" s="7" t="n"/>
      <c r="H165" s="7" t="n"/>
      <c r="I165" s="10" t="n"/>
      <c r="J165" s="11">
        <f>IF(I165="","",IF(K165&lt;&gt;"",K165-I165,TODAY()-I165))</f>
        <v/>
      </c>
      <c r="K165" s="10" t="n"/>
      <c r="L165" s="10" t="n"/>
      <c r="M165" s="8" t="n"/>
      <c r="N165" s="8" t="n"/>
      <c r="O165" s="8" t="n"/>
      <c r="P165" s="8" t="n"/>
      <c r="Q165" s="8" t="n"/>
      <c r="R165" s="7" t="n"/>
      <c r="S165" s="12" t="n"/>
      <c r="T165" s="8" t="n"/>
    </row>
    <row r="166" ht="18" customHeight="1">
      <c r="A166" s="6" t="n"/>
      <c r="B166" s="7" t="n"/>
      <c r="C166" s="8" t="n"/>
      <c r="D166" s="9">
        <f>IF(OR(E166="",B166="完了"),"",IF(TODAY()&gt;E166,"超過",IF(TODAY()+3&gt;=E166,"間近","")))</f>
        <v/>
      </c>
      <c r="E166" s="10" t="n"/>
      <c r="F166" s="7" t="n"/>
      <c r="G166" s="7" t="n"/>
      <c r="H166" s="7" t="n"/>
      <c r="I166" s="10" t="n"/>
      <c r="J166" s="11">
        <f>IF(I166="","",IF(K166&lt;&gt;"",K166-I166,TODAY()-I166))</f>
        <v/>
      </c>
      <c r="K166" s="10" t="n"/>
      <c r="L166" s="10" t="n"/>
      <c r="M166" s="8" t="n"/>
      <c r="N166" s="8" t="n"/>
      <c r="O166" s="8" t="n"/>
      <c r="P166" s="8" t="n"/>
      <c r="Q166" s="8" t="n"/>
      <c r="R166" s="7" t="n"/>
      <c r="S166" s="12" t="n"/>
      <c r="T166" s="8" t="n"/>
    </row>
    <row r="167" ht="18" customHeight="1">
      <c r="A167" s="6" t="n"/>
      <c r="B167" s="7" t="n"/>
      <c r="C167" s="8" t="n"/>
      <c r="D167" s="9">
        <f>IF(OR(E167="",B167="完了"),"",IF(TODAY()&gt;E167,"超過",IF(TODAY()+3&gt;=E167,"間近","")))</f>
        <v/>
      </c>
      <c r="E167" s="10" t="n"/>
      <c r="F167" s="7" t="n"/>
      <c r="G167" s="7" t="n"/>
      <c r="H167" s="7" t="n"/>
      <c r="I167" s="10" t="n"/>
      <c r="J167" s="11">
        <f>IF(I167="","",IF(K167&lt;&gt;"",K167-I167,TODAY()-I167))</f>
        <v/>
      </c>
      <c r="K167" s="10" t="n"/>
      <c r="L167" s="10" t="n"/>
      <c r="M167" s="8" t="n"/>
      <c r="N167" s="8" t="n"/>
      <c r="O167" s="8" t="n"/>
      <c r="P167" s="8" t="n"/>
      <c r="Q167" s="8" t="n"/>
      <c r="R167" s="7" t="n"/>
      <c r="S167" s="12" t="n"/>
      <c r="T167" s="8" t="n"/>
    </row>
    <row r="168" ht="18" customHeight="1">
      <c r="A168" s="6" t="n"/>
      <c r="B168" s="7" t="n"/>
      <c r="C168" s="8" t="n"/>
      <c r="D168" s="9">
        <f>IF(OR(E168="",B168="完了"),"",IF(TODAY()&gt;E168,"超過",IF(TODAY()+3&gt;=E168,"間近","")))</f>
        <v/>
      </c>
      <c r="E168" s="10" t="n"/>
      <c r="F168" s="7" t="n"/>
      <c r="G168" s="7" t="n"/>
      <c r="H168" s="7" t="n"/>
      <c r="I168" s="10" t="n"/>
      <c r="J168" s="11">
        <f>IF(I168="","",IF(K168&lt;&gt;"",K168-I168,TODAY()-I168))</f>
        <v/>
      </c>
      <c r="K168" s="10" t="n"/>
      <c r="L168" s="10" t="n"/>
      <c r="M168" s="8" t="n"/>
      <c r="N168" s="8" t="n"/>
      <c r="O168" s="8" t="n"/>
      <c r="P168" s="8" t="n"/>
      <c r="Q168" s="8" t="n"/>
      <c r="R168" s="7" t="n"/>
      <c r="S168" s="12" t="n"/>
      <c r="T168" s="8" t="n"/>
    </row>
    <row r="169" ht="18" customHeight="1">
      <c r="A169" s="6" t="n"/>
      <c r="B169" s="7" t="n"/>
      <c r="C169" s="8" t="n"/>
      <c r="D169" s="9">
        <f>IF(OR(E169="",B169="完了"),"",IF(TODAY()&gt;E169,"超過",IF(TODAY()+3&gt;=E169,"間近","")))</f>
        <v/>
      </c>
      <c r="E169" s="10" t="n"/>
      <c r="F169" s="7" t="n"/>
      <c r="G169" s="7" t="n"/>
      <c r="H169" s="7" t="n"/>
      <c r="I169" s="10" t="n"/>
      <c r="J169" s="11">
        <f>IF(I169="","",IF(K169&lt;&gt;"",K169-I169,TODAY()-I169))</f>
        <v/>
      </c>
      <c r="K169" s="10" t="n"/>
      <c r="L169" s="10" t="n"/>
      <c r="M169" s="8" t="n"/>
      <c r="N169" s="8" t="n"/>
      <c r="O169" s="8" t="n"/>
      <c r="P169" s="8" t="n"/>
      <c r="Q169" s="8" t="n"/>
      <c r="R169" s="7" t="n"/>
      <c r="S169" s="12" t="n"/>
      <c r="T169" s="8" t="n"/>
    </row>
    <row r="170" ht="18" customHeight="1">
      <c r="A170" s="6" t="n"/>
      <c r="B170" s="7" t="n"/>
      <c r="C170" s="8" t="n"/>
      <c r="D170" s="9">
        <f>IF(OR(E170="",B170="完了"),"",IF(TODAY()&gt;E170,"超過",IF(TODAY()+3&gt;=E170,"間近","")))</f>
        <v/>
      </c>
      <c r="E170" s="10" t="n"/>
      <c r="F170" s="7" t="n"/>
      <c r="G170" s="7" t="n"/>
      <c r="H170" s="7" t="n"/>
      <c r="I170" s="10" t="n"/>
      <c r="J170" s="11">
        <f>IF(I170="","",IF(K170&lt;&gt;"",K170-I170,TODAY()-I170))</f>
        <v/>
      </c>
      <c r="K170" s="10" t="n"/>
      <c r="L170" s="10" t="n"/>
      <c r="M170" s="8" t="n"/>
      <c r="N170" s="8" t="n"/>
      <c r="O170" s="8" t="n"/>
      <c r="P170" s="8" t="n"/>
      <c r="Q170" s="8" t="n"/>
      <c r="R170" s="7" t="n"/>
      <c r="S170" s="12" t="n"/>
      <c r="T170" s="8" t="n"/>
    </row>
    <row r="171" ht="18" customHeight="1">
      <c r="A171" s="6" t="n"/>
      <c r="B171" s="7" t="n"/>
      <c r="C171" s="8" t="n"/>
      <c r="D171" s="9">
        <f>IF(OR(E171="",B171="完了"),"",IF(TODAY()&gt;E171,"超過",IF(TODAY()+3&gt;=E171,"間近","")))</f>
        <v/>
      </c>
      <c r="E171" s="10" t="n"/>
      <c r="F171" s="7" t="n"/>
      <c r="G171" s="7" t="n"/>
      <c r="H171" s="7" t="n"/>
      <c r="I171" s="10" t="n"/>
      <c r="J171" s="11">
        <f>IF(I171="","",IF(K171&lt;&gt;"",K171-I171,TODAY()-I171))</f>
        <v/>
      </c>
      <c r="K171" s="10" t="n"/>
      <c r="L171" s="10" t="n"/>
      <c r="M171" s="8" t="n"/>
      <c r="N171" s="8" t="n"/>
      <c r="O171" s="8" t="n"/>
      <c r="P171" s="8" t="n"/>
      <c r="Q171" s="8" t="n"/>
      <c r="R171" s="7" t="n"/>
      <c r="S171" s="12" t="n"/>
      <c r="T171" s="8" t="n"/>
    </row>
    <row r="172" ht="18" customHeight="1">
      <c r="A172" s="6" t="n"/>
      <c r="B172" s="7" t="n"/>
      <c r="C172" s="8" t="n"/>
      <c r="D172" s="9">
        <f>IF(OR(E172="",B172="完了"),"",IF(TODAY()&gt;E172,"超過",IF(TODAY()+3&gt;=E172,"間近","")))</f>
        <v/>
      </c>
      <c r="E172" s="10" t="n"/>
      <c r="F172" s="7" t="n"/>
      <c r="G172" s="7" t="n"/>
      <c r="H172" s="7" t="n"/>
      <c r="I172" s="10" t="n"/>
      <c r="J172" s="11">
        <f>IF(I172="","",IF(K172&lt;&gt;"",K172-I172,TODAY()-I172))</f>
        <v/>
      </c>
      <c r="K172" s="10" t="n"/>
      <c r="L172" s="10" t="n"/>
      <c r="M172" s="8" t="n"/>
      <c r="N172" s="8" t="n"/>
      <c r="O172" s="8" t="n"/>
      <c r="P172" s="8" t="n"/>
      <c r="Q172" s="8" t="n"/>
      <c r="R172" s="7" t="n"/>
      <c r="S172" s="12" t="n"/>
      <c r="T172" s="8" t="n"/>
    </row>
    <row r="173" ht="18" customHeight="1">
      <c r="A173" s="6" t="n"/>
      <c r="B173" s="7" t="n"/>
      <c r="C173" s="8" t="n"/>
      <c r="D173" s="9">
        <f>IF(OR(E173="",B173="完了"),"",IF(TODAY()&gt;E173,"超過",IF(TODAY()+3&gt;=E173,"間近","")))</f>
        <v/>
      </c>
      <c r="E173" s="10" t="n"/>
      <c r="F173" s="7" t="n"/>
      <c r="G173" s="7" t="n"/>
      <c r="H173" s="7" t="n"/>
      <c r="I173" s="10" t="n"/>
      <c r="J173" s="11">
        <f>IF(I173="","",IF(K173&lt;&gt;"",K173-I173,TODAY()-I173))</f>
        <v/>
      </c>
      <c r="K173" s="10" t="n"/>
      <c r="L173" s="10" t="n"/>
      <c r="M173" s="8" t="n"/>
      <c r="N173" s="8" t="n"/>
      <c r="O173" s="8" t="n"/>
      <c r="P173" s="8" t="n"/>
      <c r="Q173" s="8" t="n"/>
      <c r="R173" s="7" t="n"/>
      <c r="S173" s="12" t="n"/>
      <c r="T173" s="8" t="n"/>
    </row>
    <row r="174" ht="18" customHeight="1">
      <c r="A174" s="6" t="n"/>
      <c r="B174" s="7" t="n"/>
      <c r="C174" s="8" t="n"/>
      <c r="D174" s="9">
        <f>IF(OR(E174="",B174="完了"),"",IF(TODAY()&gt;E174,"超過",IF(TODAY()+3&gt;=E174,"間近","")))</f>
        <v/>
      </c>
      <c r="E174" s="10" t="n"/>
      <c r="F174" s="7" t="n"/>
      <c r="G174" s="7" t="n"/>
      <c r="H174" s="7" t="n"/>
      <c r="I174" s="10" t="n"/>
      <c r="J174" s="11">
        <f>IF(I174="","",IF(K174&lt;&gt;"",K174-I174,TODAY()-I174))</f>
        <v/>
      </c>
      <c r="K174" s="10" t="n"/>
      <c r="L174" s="10" t="n"/>
      <c r="M174" s="8" t="n"/>
      <c r="N174" s="8" t="n"/>
      <c r="O174" s="8" t="n"/>
      <c r="P174" s="8" t="n"/>
      <c r="Q174" s="8" t="n"/>
      <c r="R174" s="7" t="n"/>
      <c r="S174" s="12" t="n"/>
      <c r="T174" s="8" t="n"/>
    </row>
    <row r="175" ht="18" customHeight="1">
      <c r="A175" s="6" t="n"/>
      <c r="B175" s="7" t="n"/>
      <c r="C175" s="8" t="n"/>
      <c r="D175" s="9">
        <f>IF(OR(E175="",B175="完了"),"",IF(TODAY()&gt;E175,"超過",IF(TODAY()+3&gt;=E175,"間近","")))</f>
        <v/>
      </c>
      <c r="E175" s="10" t="n"/>
      <c r="F175" s="7" t="n"/>
      <c r="G175" s="7" t="n"/>
      <c r="H175" s="7" t="n"/>
      <c r="I175" s="10" t="n"/>
      <c r="J175" s="11">
        <f>IF(I175="","",IF(K175&lt;&gt;"",K175-I175,TODAY()-I175))</f>
        <v/>
      </c>
      <c r="K175" s="10" t="n"/>
      <c r="L175" s="10" t="n"/>
      <c r="M175" s="8" t="n"/>
      <c r="N175" s="8" t="n"/>
      <c r="O175" s="8" t="n"/>
      <c r="P175" s="8" t="n"/>
      <c r="Q175" s="8" t="n"/>
      <c r="R175" s="7" t="n"/>
      <c r="S175" s="12" t="n"/>
      <c r="T175" s="8" t="n"/>
    </row>
    <row r="176" ht="18" customHeight="1">
      <c r="A176" s="6" t="n"/>
      <c r="B176" s="7" t="n"/>
      <c r="C176" s="8" t="n"/>
      <c r="D176" s="9">
        <f>IF(OR(E176="",B176="完了"),"",IF(TODAY()&gt;E176,"超過",IF(TODAY()+3&gt;=E176,"間近","")))</f>
        <v/>
      </c>
      <c r="E176" s="10" t="n"/>
      <c r="F176" s="7" t="n"/>
      <c r="G176" s="7" t="n"/>
      <c r="H176" s="7" t="n"/>
      <c r="I176" s="10" t="n"/>
      <c r="J176" s="11">
        <f>IF(I176="","",IF(K176&lt;&gt;"",K176-I176,TODAY()-I176))</f>
        <v/>
      </c>
      <c r="K176" s="10" t="n"/>
      <c r="L176" s="10" t="n"/>
      <c r="M176" s="8" t="n"/>
      <c r="N176" s="8" t="n"/>
      <c r="O176" s="8" t="n"/>
      <c r="P176" s="8" t="n"/>
      <c r="Q176" s="8" t="n"/>
      <c r="R176" s="7" t="n"/>
      <c r="S176" s="12" t="n"/>
      <c r="T176" s="8" t="n"/>
    </row>
    <row r="177" ht="18" customHeight="1">
      <c r="A177" s="6" t="n"/>
      <c r="B177" s="7" t="n"/>
      <c r="C177" s="8" t="n"/>
      <c r="D177" s="9">
        <f>IF(OR(E177="",B177="完了"),"",IF(TODAY()&gt;E177,"超過",IF(TODAY()+3&gt;=E177,"間近","")))</f>
        <v/>
      </c>
      <c r="E177" s="10" t="n"/>
      <c r="F177" s="7" t="n"/>
      <c r="G177" s="7" t="n"/>
      <c r="H177" s="7" t="n"/>
      <c r="I177" s="10" t="n"/>
      <c r="J177" s="11">
        <f>IF(I177="","",IF(K177&lt;&gt;"",K177-I177,TODAY()-I177))</f>
        <v/>
      </c>
      <c r="K177" s="10" t="n"/>
      <c r="L177" s="10" t="n"/>
      <c r="M177" s="8" t="n"/>
      <c r="N177" s="8" t="n"/>
      <c r="O177" s="8" t="n"/>
      <c r="P177" s="8" t="n"/>
      <c r="Q177" s="8" t="n"/>
      <c r="R177" s="7" t="n"/>
      <c r="S177" s="12" t="n"/>
      <c r="T177" s="8" t="n"/>
    </row>
    <row r="178" ht="18" customHeight="1">
      <c r="A178" s="6" t="n"/>
      <c r="B178" s="7" t="n"/>
      <c r="C178" s="8" t="n"/>
      <c r="D178" s="9">
        <f>IF(OR(E178="",B178="完了"),"",IF(TODAY()&gt;E178,"超過",IF(TODAY()+3&gt;=E178,"間近","")))</f>
        <v/>
      </c>
      <c r="E178" s="10" t="n"/>
      <c r="F178" s="7" t="n"/>
      <c r="G178" s="7" t="n"/>
      <c r="H178" s="7" t="n"/>
      <c r="I178" s="10" t="n"/>
      <c r="J178" s="11">
        <f>IF(I178="","",IF(K178&lt;&gt;"",K178-I178,TODAY()-I178))</f>
        <v/>
      </c>
      <c r="K178" s="10" t="n"/>
      <c r="L178" s="10" t="n"/>
      <c r="M178" s="8" t="n"/>
      <c r="N178" s="8" t="n"/>
      <c r="O178" s="8" t="n"/>
      <c r="P178" s="8" t="n"/>
      <c r="Q178" s="8" t="n"/>
      <c r="R178" s="7" t="n"/>
      <c r="S178" s="12" t="n"/>
      <c r="T178" s="8" t="n"/>
    </row>
    <row r="179" ht="18" customHeight="1">
      <c r="A179" s="6" t="n"/>
      <c r="B179" s="7" t="n"/>
      <c r="C179" s="8" t="n"/>
      <c r="D179" s="9">
        <f>IF(OR(E179="",B179="完了"),"",IF(TODAY()&gt;E179,"超過",IF(TODAY()+3&gt;=E179,"間近","")))</f>
        <v/>
      </c>
      <c r="E179" s="10" t="n"/>
      <c r="F179" s="7" t="n"/>
      <c r="G179" s="7" t="n"/>
      <c r="H179" s="7" t="n"/>
      <c r="I179" s="10" t="n"/>
      <c r="J179" s="11">
        <f>IF(I179="","",IF(K179&lt;&gt;"",K179-I179,TODAY()-I179))</f>
        <v/>
      </c>
      <c r="K179" s="10" t="n"/>
      <c r="L179" s="10" t="n"/>
      <c r="M179" s="8" t="n"/>
      <c r="N179" s="8" t="n"/>
      <c r="O179" s="8" t="n"/>
      <c r="P179" s="8" t="n"/>
      <c r="Q179" s="8" t="n"/>
      <c r="R179" s="7" t="n"/>
      <c r="S179" s="12" t="n"/>
      <c r="T179" s="8" t="n"/>
    </row>
    <row r="180" ht="18" customHeight="1">
      <c r="A180" s="6" t="n"/>
      <c r="B180" s="7" t="n"/>
      <c r="C180" s="8" t="n"/>
      <c r="D180" s="9">
        <f>IF(OR(E180="",B180="完了"),"",IF(TODAY()&gt;E180,"超過",IF(TODAY()+3&gt;=E180,"間近","")))</f>
        <v/>
      </c>
      <c r="E180" s="10" t="n"/>
      <c r="F180" s="7" t="n"/>
      <c r="G180" s="7" t="n"/>
      <c r="H180" s="7" t="n"/>
      <c r="I180" s="10" t="n"/>
      <c r="J180" s="11">
        <f>IF(I180="","",IF(K180&lt;&gt;"",K180-I180,TODAY()-I180))</f>
        <v/>
      </c>
      <c r="K180" s="10" t="n"/>
      <c r="L180" s="10" t="n"/>
      <c r="M180" s="8" t="n"/>
      <c r="N180" s="8" t="n"/>
      <c r="O180" s="8" t="n"/>
      <c r="P180" s="8" t="n"/>
      <c r="Q180" s="8" t="n"/>
      <c r="R180" s="7" t="n"/>
      <c r="S180" s="12" t="n"/>
      <c r="T180" s="8" t="n"/>
    </row>
    <row r="181" ht="18" customHeight="1">
      <c r="A181" s="6" t="n"/>
      <c r="B181" s="7" t="n"/>
      <c r="C181" s="8" t="n"/>
      <c r="D181" s="9">
        <f>IF(OR(E181="",B181="完了"),"",IF(TODAY()&gt;E181,"超過",IF(TODAY()+3&gt;=E181,"間近","")))</f>
        <v/>
      </c>
      <c r="E181" s="10" t="n"/>
      <c r="F181" s="7" t="n"/>
      <c r="G181" s="7" t="n"/>
      <c r="H181" s="7" t="n"/>
      <c r="I181" s="10" t="n"/>
      <c r="J181" s="11">
        <f>IF(I181="","",IF(K181&lt;&gt;"",K181-I181,TODAY()-I181))</f>
        <v/>
      </c>
      <c r="K181" s="10" t="n"/>
      <c r="L181" s="10" t="n"/>
      <c r="M181" s="8" t="n"/>
      <c r="N181" s="8" t="n"/>
      <c r="O181" s="8" t="n"/>
      <c r="P181" s="8" t="n"/>
      <c r="Q181" s="8" t="n"/>
      <c r="R181" s="7" t="n"/>
      <c r="S181" s="12" t="n"/>
      <c r="T181" s="8" t="n"/>
    </row>
    <row r="182" ht="18" customHeight="1">
      <c r="A182" s="6" t="n"/>
      <c r="B182" s="7" t="n"/>
      <c r="C182" s="8" t="n"/>
      <c r="D182" s="9">
        <f>IF(OR(E182="",B182="完了"),"",IF(TODAY()&gt;E182,"超過",IF(TODAY()+3&gt;=E182,"間近","")))</f>
        <v/>
      </c>
      <c r="E182" s="10" t="n"/>
      <c r="F182" s="7" t="n"/>
      <c r="G182" s="7" t="n"/>
      <c r="H182" s="7" t="n"/>
      <c r="I182" s="10" t="n"/>
      <c r="J182" s="11">
        <f>IF(I182="","",IF(K182&lt;&gt;"",K182-I182,TODAY()-I182))</f>
        <v/>
      </c>
      <c r="K182" s="10" t="n"/>
      <c r="L182" s="10" t="n"/>
      <c r="M182" s="8" t="n"/>
      <c r="N182" s="8" t="n"/>
      <c r="O182" s="8" t="n"/>
      <c r="P182" s="8" t="n"/>
      <c r="Q182" s="8" t="n"/>
      <c r="R182" s="7" t="n"/>
      <c r="S182" s="12" t="n"/>
      <c r="T182" s="8" t="n"/>
    </row>
    <row r="183" ht="18" customHeight="1">
      <c r="A183" s="6" t="n"/>
      <c r="B183" s="7" t="n"/>
      <c r="C183" s="8" t="n"/>
      <c r="D183" s="9">
        <f>IF(OR(E183="",B183="完了"),"",IF(TODAY()&gt;E183,"超過",IF(TODAY()+3&gt;=E183,"間近","")))</f>
        <v/>
      </c>
      <c r="E183" s="10" t="n"/>
      <c r="F183" s="7" t="n"/>
      <c r="G183" s="7" t="n"/>
      <c r="H183" s="7" t="n"/>
      <c r="I183" s="10" t="n"/>
      <c r="J183" s="11">
        <f>IF(I183="","",IF(K183&lt;&gt;"",K183-I183,TODAY()-I183))</f>
        <v/>
      </c>
      <c r="K183" s="10" t="n"/>
      <c r="L183" s="10" t="n"/>
      <c r="M183" s="8" t="n"/>
      <c r="N183" s="8" t="n"/>
      <c r="O183" s="8" t="n"/>
      <c r="P183" s="8" t="n"/>
      <c r="Q183" s="8" t="n"/>
      <c r="R183" s="7" t="n"/>
      <c r="S183" s="12" t="n"/>
      <c r="T183" s="8" t="n"/>
    </row>
    <row r="184" ht="18" customHeight="1">
      <c r="A184" s="6" t="n"/>
      <c r="B184" s="7" t="n"/>
      <c r="C184" s="8" t="n"/>
      <c r="D184" s="9">
        <f>IF(OR(E184="",B184="完了"),"",IF(TODAY()&gt;E184,"超過",IF(TODAY()+3&gt;=E184,"間近","")))</f>
        <v/>
      </c>
      <c r="E184" s="10" t="n"/>
      <c r="F184" s="7" t="n"/>
      <c r="G184" s="7" t="n"/>
      <c r="H184" s="7" t="n"/>
      <c r="I184" s="10" t="n"/>
      <c r="J184" s="11">
        <f>IF(I184="","",IF(K184&lt;&gt;"",K184-I184,TODAY()-I184))</f>
        <v/>
      </c>
      <c r="K184" s="10" t="n"/>
      <c r="L184" s="10" t="n"/>
      <c r="M184" s="8" t="n"/>
      <c r="N184" s="8" t="n"/>
      <c r="O184" s="8" t="n"/>
      <c r="P184" s="8" t="n"/>
      <c r="Q184" s="8" t="n"/>
      <c r="R184" s="7" t="n"/>
      <c r="S184" s="12" t="n"/>
      <c r="T184" s="8" t="n"/>
    </row>
    <row r="185" ht="18" customHeight="1">
      <c r="A185" s="6" t="n"/>
      <c r="B185" s="7" t="n"/>
      <c r="C185" s="8" t="n"/>
      <c r="D185" s="9">
        <f>IF(OR(E185="",B185="完了"),"",IF(TODAY()&gt;E185,"超過",IF(TODAY()+3&gt;=E185,"間近","")))</f>
        <v/>
      </c>
      <c r="E185" s="10" t="n"/>
      <c r="F185" s="7" t="n"/>
      <c r="G185" s="7" t="n"/>
      <c r="H185" s="7" t="n"/>
      <c r="I185" s="10" t="n"/>
      <c r="J185" s="11">
        <f>IF(I185="","",IF(K185&lt;&gt;"",K185-I185,TODAY()-I185))</f>
        <v/>
      </c>
      <c r="K185" s="10" t="n"/>
      <c r="L185" s="10" t="n"/>
      <c r="M185" s="8" t="n"/>
      <c r="N185" s="8" t="n"/>
      <c r="O185" s="8" t="n"/>
      <c r="P185" s="8" t="n"/>
      <c r="Q185" s="8" t="n"/>
      <c r="R185" s="7" t="n"/>
      <c r="S185" s="12" t="n"/>
      <c r="T185" s="8" t="n"/>
    </row>
    <row r="186" ht="18" customHeight="1">
      <c r="A186" s="6" t="n"/>
      <c r="B186" s="7" t="n"/>
      <c r="C186" s="8" t="n"/>
      <c r="D186" s="9">
        <f>IF(OR(E186="",B186="完了"),"",IF(TODAY()&gt;E186,"超過",IF(TODAY()+3&gt;=E186,"間近","")))</f>
        <v/>
      </c>
      <c r="E186" s="10" t="n"/>
      <c r="F186" s="7" t="n"/>
      <c r="G186" s="7" t="n"/>
      <c r="H186" s="7" t="n"/>
      <c r="I186" s="10" t="n"/>
      <c r="J186" s="11">
        <f>IF(I186="","",IF(K186&lt;&gt;"",K186-I186,TODAY()-I186))</f>
        <v/>
      </c>
      <c r="K186" s="10" t="n"/>
      <c r="L186" s="10" t="n"/>
      <c r="M186" s="8" t="n"/>
      <c r="N186" s="8" t="n"/>
      <c r="O186" s="8" t="n"/>
      <c r="P186" s="8" t="n"/>
      <c r="Q186" s="8" t="n"/>
      <c r="R186" s="7" t="n"/>
      <c r="S186" s="12" t="n"/>
      <c r="T186" s="8" t="n"/>
    </row>
    <row r="187" ht="18" customHeight="1">
      <c r="A187" s="6" t="n"/>
      <c r="B187" s="7" t="n"/>
      <c r="C187" s="8" t="n"/>
      <c r="D187" s="9">
        <f>IF(OR(E187="",B187="完了"),"",IF(TODAY()&gt;E187,"超過",IF(TODAY()+3&gt;=E187,"間近","")))</f>
        <v/>
      </c>
      <c r="E187" s="10" t="n"/>
      <c r="F187" s="7" t="n"/>
      <c r="G187" s="7" t="n"/>
      <c r="H187" s="7" t="n"/>
      <c r="I187" s="10" t="n"/>
      <c r="J187" s="11">
        <f>IF(I187="","",IF(K187&lt;&gt;"",K187-I187,TODAY()-I187))</f>
        <v/>
      </c>
      <c r="K187" s="10" t="n"/>
      <c r="L187" s="10" t="n"/>
      <c r="M187" s="8" t="n"/>
      <c r="N187" s="8" t="n"/>
      <c r="O187" s="8" t="n"/>
      <c r="P187" s="8" t="n"/>
      <c r="Q187" s="8" t="n"/>
      <c r="R187" s="7" t="n"/>
      <c r="S187" s="12" t="n"/>
      <c r="T187" s="8" t="n"/>
    </row>
    <row r="188" ht="18" customHeight="1">
      <c r="A188" s="6" t="n"/>
      <c r="B188" s="7" t="n"/>
      <c r="C188" s="8" t="n"/>
      <c r="D188" s="9">
        <f>IF(OR(E188="",B188="完了"),"",IF(TODAY()&gt;E188,"超過",IF(TODAY()+3&gt;=E188,"間近","")))</f>
        <v/>
      </c>
      <c r="E188" s="10" t="n"/>
      <c r="F188" s="7" t="n"/>
      <c r="G188" s="7" t="n"/>
      <c r="H188" s="7" t="n"/>
      <c r="I188" s="10" t="n"/>
      <c r="J188" s="11">
        <f>IF(I188="","",IF(K188&lt;&gt;"",K188-I188,TODAY()-I188))</f>
        <v/>
      </c>
      <c r="K188" s="10" t="n"/>
      <c r="L188" s="10" t="n"/>
      <c r="M188" s="8" t="n"/>
      <c r="N188" s="8" t="n"/>
      <c r="O188" s="8" t="n"/>
      <c r="P188" s="8" t="n"/>
      <c r="Q188" s="8" t="n"/>
      <c r="R188" s="7" t="n"/>
      <c r="S188" s="12" t="n"/>
      <c r="T188" s="8" t="n"/>
    </row>
    <row r="189" ht="18" customHeight="1">
      <c r="A189" s="6" t="n"/>
      <c r="B189" s="7" t="n"/>
      <c r="C189" s="8" t="n"/>
      <c r="D189" s="9">
        <f>IF(OR(E189="",B189="完了"),"",IF(TODAY()&gt;E189,"超過",IF(TODAY()+3&gt;=E189,"間近","")))</f>
        <v/>
      </c>
      <c r="E189" s="10" t="n"/>
      <c r="F189" s="7" t="n"/>
      <c r="G189" s="7" t="n"/>
      <c r="H189" s="7" t="n"/>
      <c r="I189" s="10" t="n"/>
      <c r="J189" s="11">
        <f>IF(I189="","",IF(K189&lt;&gt;"",K189-I189,TODAY()-I189))</f>
        <v/>
      </c>
      <c r="K189" s="10" t="n"/>
      <c r="L189" s="10" t="n"/>
      <c r="M189" s="8" t="n"/>
      <c r="N189" s="8" t="n"/>
      <c r="O189" s="8" t="n"/>
      <c r="P189" s="8" t="n"/>
      <c r="Q189" s="8" t="n"/>
      <c r="R189" s="7" t="n"/>
      <c r="S189" s="12" t="n"/>
      <c r="T189" s="8" t="n"/>
    </row>
    <row r="190" ht="18" customHeight="1">
      <c r="A190" s="6" t="n"/>
      <c r="B190" s="7" t="n"/>
      <c r="C190" s="8" t="n"/>
      <c r="D190" s="9">
        <f>IF(OR(E190="",B190="完了"),"",IF(TODAY()&gt;E190,"超過",IF(TODAY()+3&gt;=E190,"間近","")))</f>
        <v/>
      </c>
      <c r="E190" s="10" t="n"/>
      <c r="F190" s="7" t="n"/>
      <c r="G190" s="7" t="n"/>
      <c r="H190" s="7" t="n"/>
      <c r="I190" s="10" t="n"/>
      <c r="J190" s="11">
        <f>IF(I190="","",IF(K190&lt;&gt;"",K190-I190,TODAY()-I190))</f>
        <v/>
      </c>
      <c r="K190" s="10" t="n"/>
      <c r="L190" s="10" t="n"/>
      <c r="M190" s="8" t="n"/>
      <c r="N190" s="8" t="n"/>
      <c r="O190" s="8" t="n"/>
      <c r="P190" s="8" t="n"/>
      <c r="Q190" s="8" t="n"/>
      <c r="R190" s="7" t="n"/>
      <c r="S190" s="12" t="n"/>
      <c r="T190" s="8" t="n"/>
    </row>
    <row r="191" ht="18" customHeight="1">
      <c r="A191" s="6" t="n"/>
      <c r="B191" s="7" t="n"/>
      <c r="C191" s="8" t="n"/>
      <c r="D191" s="9">
        <f>IF(OR(E191="",B191="完了"),"",IF(TODAY()&gt;E191,"超過",IF(TODAY()+3&gt;=E191,"間近","")))</f>
        <v/>
      </c>
      <c r="E191" s="10" t="n"/>
      <c r="F191" s="7" t="n"/>
      <c r="G191" s="7" t="n"/>
      <c r="H191" s="7" t="n"/>
      <c r="I191" s="10" t="n"/>
      <c r="J191" s="11">
        <f>IF(I191="","",IF(K191&lt;&gt;"",K191-I191,TODAY()-I191))</f>
        <v/>
      </c>
      <c r="K191" s="10" t="n"/>
      <c r="L191" s="10" t="n"/>
      <c r="M191" s="8" t="n"/>
      <c r="N191" s="8" t="n"/>
      <c r="O191" s="8" t="n"/>
      <c r="P191" s="8" t="n"/>
      <c r="Q191" s="8" t="n"/>
      <c r="R191" s="7" t="n"/>
      <c r="S191" s="12" t="n"/>
      <c r="T191" s="8" t="n"/>
    </row>
    <row r="192" ht="18" customHeight="1">
      <c r="A192" s="6" t="n"/>
      <c r="B192" s="7" t="n"/>
      <c r="C192" s="8" t="n"/>
      <c r="D192" s="9">
        <f>IF(OR(E192="",B192="完了"),"",IF(TODAY()&gt;E192,"超過",IF(TODAY()+3&gt;=E192,"間近","")))</f>
        <v/>
      </c>
      <c r="E192" s="10" t="n"/>
      <c r="F192" s="7" t="n"/>
      <c r="G192" s="7" t="n"/>
      <c r="H192" s="7" t="n"/>
      <c r="I192" s="10" t="n"/>
      <c r="J192" s="11">
        <f>IF(I192="","",IF(K192&lt;&gt;"",K192-I192,TODAY()-I192))</f>
        <v/>
      </c>
      <c r="K192" s="10" t="n"/>
      <c r="L192" s="10" t="n"/>
      <c r="M192" s="8" t="n"/>
      <c r="N192" s="8" t="n"/>
      <c r="O192" s="8" t="n"/>
      <c r="P192" s="8" t="n"/>
      <c r="Q192" s="8" t="n"/>
      <c r="R192" s="7" t="n"/>
      <c r="S192" s="12" t="n"/>
      <c r="T192" s="8" t="n"/>
    </row>
    <row r="193" ht="18" customHeight="1">
      <c r="A193" s="6" t="n"/>
      <c r="B193" s="7" t="n"/>
      <c r="C193" s="8" t="n"/>
      <c r="D193" s="9">
        <f>IF(OR(E193="",B193="完了"),"",IF(TODAY()&gt;E193,"超過",IF(TODAY()+3&gt;=E193,"間近","")))</f>
        <v/>
      </c>
      <c r="E193" s="10" t="n"/>
      <c r="F193" s="7" t="n"/>
      <c r="G193" s="7" t="n"/>
      <c r="H193" s="7" t="n"/>
      <c r="I193" s="10" t="n"/>
      <c r="J193" s="11">
        <f>IF(I193="","",IF(K193&lt;&gt;"",K193-I193,TODAY()-I193))</f>
        <v/>
      </c>
      <c r="K193" s="10" t="n"/>
      <c r="L193" s="10" t="n"/>
      <c r="M193" s="8" t="n"/>
      <c r="N193" s="8" t="n"/>
      <c r="O193" s="8" t="n"/>
      <c r="P193" s="8" t="n"/>
      <c r="Q193" s="8" t="n"/>
      <c r="R193" s="7" t="n"/>
      <c r="S193" s="12" t="n"/>
      <c r="T193" s="8" t="n"/>
    </row>
    <row r="194" ht="18" customHeight="1">
      <c r="A194" s="6" t="n"/>
      <c r="B194" s="7" t="n"/>
      <c r="C194" s="8" t="n"/>
      <c r="D194" s="9">
        <f>IF(OR(E194="",B194="完了"),"",IF(TODAY()&gt;E194,"超過",IF(TODAY()+3&gt;=E194,"間近","")))</f>
        <v/>
      </c>
      <c r="E194" s="10" t="n"/>
      <c r="F194" s="7" t="n"/>
      <c r="G194" s="7" t="n"/>
      <c r="H194" s="7" t="n"/>
      <c r="I194" s="10" t="n"/>
      <c r="J194" s="11">
        <f>IF(I194="","",IF(K194&lt;&gt;"",K194-I194,TODAY()-I194))</f>
        <v/>
      </c>
      <c r="K194" s="10" t="n"/>
      <c r="L194" s="10" t="n"/>
      <c r="M194" s="8" t="n"/>
      <c r="N194" s="8" t="n"/>
      <c r="O194" s="8" t="n"/>
      <c r="P194" s="8" t="n"/>
      <c r="Q194" s="8" t="n"/>
      <c r="R194" s="7" t="n"/>
      <c r="S194" s="12" t="n"/>
      <c r="T194" s="8" t="n"/>
    </row>
    <row r="195" ht="18" customHeight="1">
      <c r="A195" s="6" t="n"/>
      <c r="B195" s="7" t="n"/>
      <c r="C195" s="8" t="n"/>
      <c r="D195" s="9">
        <f>IF(OR(E195="",B195="完了"),"",IF(TODAY()&gt;E195,"超過",IF(TODAY()+3&gt;=E195,"間近","")))</f>
        <v/>
      </c>
      <c r="E195" s="10" t="n"/>
      <c r="F195" s="7" t="n"/>
      <c r="G195" s="7" t="n"/>
      <c r="H195" s="7" t="n"/>
      <c r="I195" s="10" t="n"/>
      <c r="J195" s="11">
        <f>IF(I195="","",IF(K195&lt;&gt;"",K195-I195,TODAY()-I195))</f>
        <v/>
      </c>
      <c r="K195" s="10" t="n"/>
      <c r="L195" s="10" t="n"/>
      <c r="M195" s="8" t="n"/>
      <c r="N195" s="8" t="n"/>
      <c r="O195" s="8" t="n"/>
      <c r="P195" s="8" t="n"/>
      <c r="Q195" s="8" t="n"/>
      <c r="R195" s="7" t="n"/>
      <c r="S195" s="12" t="n"/>
      <c r="T195" s="8" t="n"/>
    </row>
    <row r="196" ht="18" customHeight="1">
      <c r="A196" s="6" t="n"/>
      <c r="B196" s="7" t="n"/>
      <c r="C196" s="8" t="n"/>
      <c r="D196" s="9">
        <f>IF(OR(E196="",B196="完了"),"",IF(TODAY()&gt;E196,"超過",IF(TODAY()+3&gt;=E196,"間近","")))</f>
        <v/>
      </c>
      <c r="E196" s="10" t="n"/>
      <c r="F196" s="7" t="n"/>
      <c r="G196" s="7" t="n"/>
      <c r="H196" s="7" t="n"/>
      <c r="I196" s="10" t="n"/>
      <c r="J196" s="11">
        <f>IF(I196="","",IF(K196&lt;&gt;"",K196-I196,TODAY()-I196))</f>
        <v/>
      </c>
      <c r="K196" s="10" t="n"/>
      <c r="L196" s="10" t="n"/>
      <c r="M196" s="8" t="n"/>
      <c r="N196" s="8" t="n"/>
      <c r="O196" s="8" t="n"/>
      <c r="P196" s="8" t="n"/>
      <c r="Q196" s="8" t="n"/>
      <c r="R196" s="7" t="n"/>
      <c r="S196" s="12" t="n"/>
      <c r="T196" s="8" t="n"/>
    </row>
    <row r="197" ht="18" customHeight="1">
      <c r="A197" s="6" t="n"/>
      <c r="B197" s="7" t="n"/>
      <c r="C197" s="8" t="n"/>
      <c r="D197" s="9">
        <f>IF(OR(E197="",B197="完了"),"",IF(TODAY()&gt;E197,"超過",IF(TODAY()+3&gt;=E197,"間近","")))</f>
        <v/>
      </c>
      <c r="E197" s="10" t="n"/>
      <c r="F197" s="7" t="n"/>
      <c r="G197" s="7" t="n"/>
      <c r="H197" s="7" t="n"/>
      <c r="I197" s="10" t="n"/>
      <c r="J197" s="11">
        <f>IF(I197="","",IF(K197&lt;&gt;"",K197-I197,TODAY()-I197))</f>
        <v/>
      </c>
      <c r="K197" s="10" t="n"/>
      <c r="L197" s="10" t="n"/>
      <c r="M197" s="8" t="n"/>
      <c r="N197" s="8" t="n"/>
      <c r="O197" s="8" t="n"/>
      <c r="P197" s="8" t="n"/>
      <c r="Q197" s="8" t="n"/>
      <c r="R197" s="7" t="n"/>
      <c r="S197" s="12" t="n"/>
      <c r="T197" s="8" t="n"/>
    </row>
    <row r="198" ht="18" customHeight="1">
      <c r="A198" s="6" t="n"/>
      <c r="B198" s="7" t="n"/>
      <c r="C198" s="8" t="n"/>
      <c r="D198" s="9">
        <f>IF(OR(E198="",B198="完了"),"",IF(TODAY()&gt;E198,"超過",IF(TODAY()+3&gt;=E198,"間近","")))</f>
        <v/>
      </c>
      <c r="E198" s="10" t="n"/>
      <c r="F198" s="7" t="n"/>
      <c r="G198" s="7" t="n"/>
      <c r="H198" s="7" t="n"/>
      <c r="I198" s="10" t="n"/>
      <c r="J198" s="11">
        <f>IF(I198="","",IF(K198&lt;&gt;"",K198-I198,TODAY()-I198))</f>
        <v/>
      </c>
      <c r="K198" s="10" t="n"/>
      <c r="L198" s="10" t="n"/>
      <c r="M198" s="8" t="n"/>
      <c r="N198" s="8" t="n"/>
      <c r="O198" s="8" t="n"/>
      <c r="P198" s="8" t="n"/>
      <c r="Q198" s="8" t="n"/>
      <c r="R198" s="7" t="n"/>
      <c r="S198" s="12" t="n"/>
      <c r="T198" s="8" t="n"/>
    </row>
    <row r="199" ht="18" customHeight="1">
      <c r="A199" s="6" t="n"/>
      <c r="B199" s="7" t="n"/>
      <c r="C199" s="8" t="n"/>
      <c r="D199" s="9">
        <f>IF(OR(E199="",B199="完了"),"",IF(TODAY()&gt;E199,"超過",IF(TODAY()+3&gt;=E199,"間近","")))</f>
        <v/>
      </c>
      <c r="E199" s="10" t="n"/>
      <c r="F199" s="7" t="n"/>
      <c r="G199" s="7" t="n"/>
      <c r="H199" s="7" t="n"/>
      <c r="I199" s="10" t="n"/>
      <c r="J199" s="11">
        <f>IF(I199="","",IF(K199&lt;&gt;"",K199-I199,TODAY()-I199))</f>
        <v/>
      </c>
      <c r="K199" s="10" t="n"/>
      <c r="L199" s="10" t="n"/>
      <c r="M199" s="8" t="n"/>
      <c r="N199" s="8" t="n"/>
      <c r="O199" s="8" t="n"/>
      <c r="P199" s="8" t="n"/>
      <c r="Q199" s="8" t="n"/>
      <c r="R199" s="7" t="n"/>
      <c r="S199" s="12" t="n"/>
      <c r="T199" s="8" t="n"/>
    </row>
    <row r="200" ht="18" customHeight="1">
      <c r="A200" s="6" t="n"/>
      <c r="B200" s="7" t="n"/>
      <c r="C200" s="8" t="n"/>
      <c r="D200" s="9">
        <f>IF(OR(E200="",B200="完了"),"",IF(TODAY()&gt;E200,"超過",IF(TODAY()+3&gt;=E200,"間近","")))</f>
        <v/>
      </c>
      <c r="E200" s="10" t="n"/>
      <c r="F200" s="7" t="n"/>
      <c r="G200" s="7" t="n"/>
      <c r="H200" s="7" t="n"/>
      <c r="I200" s="10" t="n"/>
      <c r="J200" s="11">
        <f>IF(I200="","",IF(K200&lt;&gt;"",K200-I200,TODAY()-I200))</f>
        <v/>
      </c>
      <c r="K200" s="10" t="n"/>
      <c r="L200" s="10" t="n"/>
      <c r="M200" s="8" t="n"/>
      <c r="N200" s="8" t="n"/>
      <c r="O200" s="8" t="n"/>
      <c r="P200" s="8" t="n"/>
      <c r="Q200" s="8" t="n"/>
      <c r="R200" s="7" t="n"/>
      <c r="S200" s="12" t="n"/>
      <c r="T200" s="8" t="n"/>
    </row>
    <row r="201" ht="18" customHeight="1">
      <c r="A201" s="6" t="n"/>
      <c r="B201" s="7" t="n"/>
      <c r="C201" s="8" t="n"/>
      <c r="D201" s="9">
        <f>IF(OR(E201="",B201="完了"),"",IF(TODAY()&gt;E201,"超過",IF(TODAY()+3&gt;=E201,"間近","")))</f>
        <v/>
      </c>
      <c r="E201" s="10" t="n"/>
      <c r="F201" s="7" t="n"/>
      <c r="G201" s="7" t="n"/>
      <c r="H201" s="7" t="n"/>
      <c r="I201" s="10" t="n"/>
      <c r="J201" s="11">
        <f>IF(I201="","",IF(K201&lt;&gt;"",K201-I201,TODAY()-I201))</f>
        <v/>
      </c>
      <c r="K201" s="10" t="n"/>
      <c r="L201" s="10" t="n"/>
      <c r="M201" s="8" t="n"/>
      <c r="N201" s="8" t="n"/>
      <c r="O201" s="8" t="n"/>
      <c r="P201" s="8" t="n"/>
      <c r="Q201" s="8" t="n"/>
      <c r="R201" s="7" t="n"/>
      <c r="S201" s="12" t="n"/>
      <c r="T201" s="8" t="n"/>
    </row>
    <row r="202" ht="18" customHeight="1">
      <c r="A202" s="6" t="n"/>
      <c r="B202" s="7" t="n"/>
      <c r="C202" s="8" t="n"/>
      <c r="D202" s="9">
        <f>IF(OR(E202="",B202="完了"),"",IF(TODAY()&gt;E202,"超過",IF(TODAY()+3&gt;=E202,"間近","")))</f>
        <v/>
      </c>
      <c r="E202" s="10" t="n"/>
      <c r="F202" s="7" t="n"/>
      <c r="G202" s="7" t="n"/>
      <c r="H202" s="7" t="n"/>
      <c r="I202" s="10" t="n"/>
      <c r="J202" s="11">
        <f>IF(I202="","",IF(K202&lt;&gt;"",K202-I202,TODAY()-I202))</f>
        <v/>
      </c>
      <c r="K202" s="10" t="n"/>
      <c r="L202" s="10" t="n"/>
      <c r="M202" s="8" t="n"/>
      <c r="N202" s="8" t="n"/>
      <c r="O202" s="8" t="n"/>
      <c r="P202" s="8" t="n"/>
      <c r="Q202" s="8" t="n"/>
      <c r="R202" s="7" t="n"/>
      <c r="S202" s="12" t="n"/>
      <c r="T202" s="8" t="n"/>
    </row>
    <row r="203" ht="18" customHeight="1">
      <c r="A203" s="6" t="n"/>
      <c r="B203" s="7" t="n"/>
      <c r="C203" s="8" t="n"/>
      <c r="D203" s="9">
        <f>IF(OR(E203="",B203="完了"),"",IF(TODAY()&gt;E203,"超過",IF(TODAY()+3&gt;=E203,"間近","")))</f>
        <v/>
      </c>
      <c r="E203" s="10" t="n"/>
      <c r="F203" s="7" t="n"/>
      <c r="G203" s="7" t="n"/>
      <c r="H203" s="7" t="n"/>
      <c r="I203" s="10" t="n"/>
      <c r="J203" s="11">
        <f>IF(I203="","",IF(K203&lt;&gt;"",K203-I203,TODAY()-I203))</f>
        <v/>
      </c>
      <c r="K203" s="10" t="n"/>
      <c r="L203" s="10" t="n"/>
      <c r="M203" s="8" t="n"/>
      <c r="N203" s="8" t="n"/>
      <c r="O203" s="8" t="n"/>
      <c r="P203" s="8" t="n"/>
      <c r="Q203" s="8" t="n"/>
      <c r="R203" s="7" t="n"/>
      <c r="S203" s="12" t="n"/>
      <c r="T203" s="8" t="n"/>
    </row>
    <row r="204" ht="18" customHeight="1">
      <c r="A204" s="6" t="n"/>
      <c r="B204" s="7" t="n"/>
      <c r="C204" s="8" t="n"/>
      <c r="D204" s="9">
        <f>IF(OR(E204="",B204="完了"),"",IF(TODAY()&gt;E204,"超過",IF(TODAY()+3&gt;=E204,"間近","")))</f>
        <v/>
      </c>
      <c r="E204" s="10" t="n"/>
      <c r="F204" s="7" t="n"/>
      <c r="G204" s="7" t="n"/>
      <c r="H204" s="7" t="n"/>
      <c r="I204" s="10" t="n"/>
      <c r="J204" s="11">
        <f>IF(I204="","",IF(K204&lt;&gt;"",K204-I204,TODAY()-I204))</f>
        <v/>
      </c>
      <c r="K204" s="10" t="n"/>
      <c r="L204" s="10" t="n"/>
      <c r="M204" s="8" t="n"/>
      <c r="N204" s="8" t="n"/>
      <c r="O204" s="8" t="n"/>
      <c r="P204" s="8" t="n"/>
      <c r="Q204" s="8" t="n"/>
      <c r="R204" s="7" t="n"/>
      <c r="S204" s="12" t="n"/>
      <c r="T204" s="8" t="n"/>
    </row>
    <row r="205" ht="18" customHeight="1">
      <c r="A205" s="6" t="n"/>
      <c r="B205" s="7" t="n"/>
      <c r="C205" s="8" t="n"/>
      <c r="D205" s="9">
        <f>IF(OR(E205="",B205="完了"),"",IF(TODAY()&gt;E205,"超過",IF(TODAY()+3&gt;=E205,"間近","")))</f>
        <v/>
      </c>
      <c r="E205" s="10" t="n"/>
      <c r="F205" s="7" t="n"/>
      <c r="G205" s="7" t="n"/>
      <c r="H205" s="7" t="n"/>
      <c r="I205" s="10" t="n"/>
      <c r="J205" s="11">
        <f>IF(I205="","",IF(K205&lt;&gt;"",K205-I205,TODAY()-I205))</f>
        <v/>
      </c>
      <c r="K205" s="10" t="n"/>
      <c r="L205" s="10" t="n"/>
      <c r="M205" s="8" t="n"/>
      <c r="N205" s="8" t="n"/>
      <c r="O205" s="8" t="n"/>
      <c r="P205" s="8" t="n"/>
      <c r="Q205" s="8" t="n"/>
      <c r="R205" s="7" t="n"/>
      <c r="S205" s="12" t="n"/>
      <c r="T205" s="8" t="n"/>
    </row>
    <row r="206" ht="18" customHeight="1">
      <c r="A206" s="6" t="n"/>
      <c r="B206" s="7" t="n"/>
      <c r="C206" s="8" t="n"/>
      <c r="D206" s="9">
        <f>IF(OR(E206="",B206="完了"),"",IF(TODAY()&gt;E206,"超過",IF(TODAY()+3&gt;=E206,"間近","")))</f>
        <v/>
      </c>
      <c r="E206" s="10" t="n"/>
      <c r="F206" s="7" t="n"/>
      <c r="G206" s="7" t="n"/>
      <c r="H206" s="7" t="n"/>
      <c r="I206" s="10" t="n"/>
      <c r="J206" s="11">
        <f>IF(I206="","",IF(K206&lt;&gt;"",K206-I206,TODAY()-I206))</f>
        <v/>
      </c>
      <c r="K206" s="10" t="n"/>
      <c r="L206" s="10" t="n"/>
      <c r="M206" s="8" t="n"/>
      <c r="N206" s="8" t="n"/>
      <c r="O206" s="8" t="n"/>
      <c r="P206" s="8" t="n"/>
      <c r="Q206" s="8" t="n"/>
      <c r="R206" s="7" t="n"/>
      <c r="S206" s="12" t="n"/>
      <c r="T206" s="8" t="n"/>
    </row>
    <row r="207" ht="18" customHeight="1">
      <c r="A207" s="6" t="n"/>
      <c r="B207" s="7" t="n"/>
      <c r="C207" s="8" t="n"/>
      <c r="D207" s="9">
        <f>IF(OR(E207="",B207="完了"),"",IF(TODAY()&gt;E207,"超過",IF(TODAY()+3&gt;=E207,"間近","")))</f>
        <v/>
      </c>
      <c r="E207" s="10" t="n"/>
      <c r="F207" s="7" t="n"/>
      <c r="G207" s="7" t="n"/>
      <c r="H207" s="7" t="n"/>
      <c r="I207" s="10" t="n"/>
      <c r="J207" s="11">
        <f>IF(I207="","",IF(K207&lt;&gt;"",K207-I207,TODAY()-I207))</f>
        <v/>
      </c>
      <c r="K207" s="10" t="n"/>
      <c r="L207" s="10" t="n"/>
      <c r="M207" s="8" t="n"/>
      <c r="N207" s="8" t="n"/>
      <c r="O207" s="8" t="n"/>
      <c r="P207" s="8" t="n"/>
      <c r="Q207" s="8" t="n"/>
      <c r="R207" s="7" t="n"/>
      <c r="S207" s="12" t="n"/>
      <c r="T207" s="8" t="n"/>
    </row>
    <row r="208" ht="18" customHeight="1">
      <c r="A208" s="6" t="n"/>
      <c r="B208" s="7" t="n"/>
      <c r="C208" s="8" t="n"/>
      <c r="D208" s="9">
        <f>IF(OR(E208="",B208="完了"),"",IF(TODAY()&gt;E208,"超過",IF(TODAY()+3&gt;=E208,"間近","")))</f>
        <v/>
      </c>
      <c r="E208" s="10" t="n"/>
      <c r="F208" s="7" t="n"/>
      <c r="G208" s="7" t="n"/>
      <c r="H208" s="7" t="n"/>
      <c r="I208" s="10" t="n"/>
      <c r="J208" s="11">
        <f>IF(I208="","",IF(K208&lt;&gt;"",K208-I208,TODAY()-I208))</f>
        <v/>
      </c>
      <c r="K208" s="10" t="n"/>
      <c r="L208" s="10" t="n"/>
      <c r="M208" s="8" t="n"/>
      <c r="N208" s="8" t="n"/>
      <c r="O208" s="8" t="n"/>
      <c r="P208" s="8" t="n"/>
      <c r="Q208" s="8" t="n"/>
      <c r="R208" s="7" t="n"/>
      <c r="S208" s="12" t="n"/>
      <c r="T208" s="8" t="n"/>
    </row>
    <row r="209" ht="18" customHeight="1">
      <c r="A209" s="6" t="n"/>
      <c r="B209" s="7" t="n"/>
      <c r="C209" s="8" t="n"/>
      <c r="D209" s="9">
        <f>IF(OR(E209="",B209="完了"),"",IF(TODAY()&gt;E209,"超過",IF(TODAY()+3&gt;=E209,"間近","")))</f>
        <v/>
      </c>
      <c r="E209" s="10" t="n"/>
      <c r="F209" s="7" t="n"/>
      <c r="G209" s="7" t="n"/>
      <c r="H209" s="7" t="n"/>
      <c r="I209" s="10" t="n"/>
      <c r="J209" s="11">
        <f>IF(I209="","",IF(K209&lt;&gt;"",K209-I209,TODAY()-I209))</f>
        <v/>
      </c>
      <c r="K209" s="10" t="n"/>
      <c r="L209" s="10" t="n"/>
      <c r="M209" s="8" t="n"/>
      <c r="N209" s="8" t="n"/>
      <c r="O209" s="8" t="n"/>
      <c r="P209" s="8" t="n"/>
      <c r="Q209" s="8" t="n"/>
      <c r="R209" s="7" t="n"/>
      <c r="S209" s="12" t="n"/>
      <c r="T209" s="8" t="n"/>
    </row>
    <row r="210" ht="18" customHeight="1">
      <c r="A210" s="6" t="n"/>
      <c r="B210" s="7" t="n"/>
      <c r="C210" s="8" t="n"/>
      <c r="D210" s="9">
        <f>IF(OR(E210="",B210="完了"),"",IF(TODAY()&gt;E210,"超過",IF(TODAY()+3&gt;=E210,"間近","")))</f>
        <v/>
      </c>
      <c r="E210" s="10" t="n"/>
      <c r="F210" s="7" t="n"/>
      <c r="G210" s="7" t="n"/>
      <c r="H210" s="7" t="n"/>
      <c r="I210" s="10" t="n"/>
      <c r="J210" s="11">
        <f>IF(I210="","",IF(K210&lt;&gt;"",K210-I210,TODAY()-I210))</f>
        <v/>
      </c>
      <c r="K210" s="10" t="n"/>
      <c r="L210" s="10" t="n"/>
      <c r="M210" s="8" t="n"/>
      <c r="N210" s="8" t="n"/>
      <c r="O210" s="8" t="n"/>
      <c r="P210" s="8" t="n"/>
      <c r="Q210" s="8" t="n"/>
      <c r="R210" s="7" t="n"/>
      <c r="S210" s="12" t="n"/>
      <c r="T210" s="8" t="n"/>
    </row>
    <row r="211" ht="18" customHeight="1">
      <c r="A211" s="6" t="n"/>
      <c r="B211" s="7" t="n"/>
      <c r="C211" s="8" t="n"/>
      <c r="D211" s="9">
        <f>IF(OR(E211="",B211="完了"),"",IF(TODAY()&gt;E211,"超過",IF(TODAY()+3&gt;=E211,"間近","")))</f>
        <v/>
      </c>
      <c r="E211" s="10" t="n"/>
      <c r="F211" s="7" t="n"/>
      <c r="G211" s="7" t="n"/>
      <c r="H211" s="7" t="n"/>
      <c r="I211" s="10" t="n"/>
      <c r="J211" s="11">
        <f>IF(I211="","",IF(K211&lt;&gt;"",K211-I211,TODAY()-I211))</f>
        <v/>
      </c>
      <c r="K211" s="10" t="n"/>
      <c r="L211" s="10" t="n"/>
      <c r="M211" s="8" t="n"/>
      <c r="N211" s="8" t="n"/>
      <c r="O211" s="8" t="n"/>
      <c r="P211" s="8" t="n"/>
      <c r="Q211" s="8" t="n"/>
      <c r="R211" s="7" t="n"/>
      <c r="S211" s="12" t="n"/>
      <c r="T211" s="8" t="n"/>
    </row>
    <row r="212" ht="18" customHeight="1">
      <c r="A212" s="6" t="n"/>
      <c r="B212" s="7" t="n"/>
      <c r="C212" s="8" t="n"/>
      <c r="D212" s="9">
        <f>IF(OR(E212="",B212="完了"),"",IF(TODAY()&gt;E212,"超過",IF(TODAY()+3&gt;=E212,"間近","")))</f>
        <v/>
      </c>
      <c r="E212" s="10" t="n"/>
      <c r="F212" s="7" t="n"/>
      <c r="G212" s="7" t="n"/>
      <c r="H212" s="7" t="n"/>
      <c r="I212" s="10" t="n"/>
      <c r="J212" s="11">
        <f>IF(I212="","",IF(K212&lt;&gt;"",K212-I212,TODAY()-I212))</f>
        <v/>
      </c>
      <c r="K212" s="10" t="n"/>
      <c r="L212" s="10" t="n"/>
      <c r="M212" s="8" t="n"/>
      <c r="N212" s="8" t="n"/>
      <c r="O212" s="8" t="n"/>
      <c r="P212" s="8" t="n"/>
      <c r="Q212" s="8" t="n"/>
      <c r="R212" s="7" t="n"/>
      <c r="S212" s="12" t="n"/>
      <c r="T212" s="8" t="n"/>
    </row>
    <row r="213" ht="18" customHeight="1">
      <c r="A213" s="6" t="n"/>
      <c r="B213" s="7" t="n"/>
      <c r="C213" s="8" t="n"/>
      <c r="D213" s="9">
        <f>IF(OR(E213="",B213="完了"),"",IF(TODAY()&gt;E213,"超過",IF(TODAY()+3&gt;=E213,"間近","")))</f>
        <v/>
      </c>
      <c r="E213" s="10" t="n"/>
      <c r="F213" s="7" t="n"/>
      <c r="G213" s="7" t="n"/>
      <c r="H213" s="7" t="n"/>
      <c r="I213" s="10" t="n"/>
      <c r="J213" s="11">
        <f>IF(I213="","",IF(K213&lt;&gt;"",K213-I213,TODAY()-I213))</f>
        <v/>
      </c>
      <c r="K213" s="10" t="n"/>
      <c r="L213" s="10" t="n"/>
      <c r="M213" s="8" t="n"/>
      <c r="N213" s="8" t="n"/>
      <c r="O213" s="8" t="n"/>
      <c r="P213" s="8" t="n"/>
      <c r="Q213" s="8" t="n"/>
      <c r="R213" s="7" t="n"/>
      <c r="S213" s="12" t="n"/>
      <c r="T213" s="8" t="n"/>
    </row>
    <row r="214" ht="18" customHeight="1">
      <c r="A214" s="6" t="n"/>
      <c r="B214" s="7" t="n"/>
      <c r="C214" s="8" t="n"/>
      <c r="D214" s="9">
        <f>IF(OR(E214="",B214="完了"),"",IF(TODAY()&gt;E214,"超過",IF(TODAY()+3&gt;=E214,"間近","")))</f>
        <v/>
      </c>
      <c r="E214" s="10" t="n"/>
      <c r="F214" s="7" t="n"/>
      <c r="G214" s="7" t="n"/>
      <c r="H214" s="7" t="n"/>
      <c r="I214" s="10" t="n"/>
      <c r="J214" s="11">
        <f>IF(I214="","",IF(K214&lt;&gt;"",K214-I214,TODAY()-I214))</f>
        <v/>
      </c>
      <c r="K214" s="10" t="n"/>
      <c r="L214" s="10" t="n"/>
      <c r="M214" s="8" t="n"/>
      <c r="N214" s="8" t="n"/>
      <c r="O214" s="8" t="n"/>
      <c r="P214" s="8" t="n"/>
      <c r="Q214" s="8" t="n"/>
      <c r="R214" s="7" t="n"/>
      <c r="S214" s="12" t="n"/>
      <c r="T214" s="8" t="n"/>
    </row>
    <row r="215" ht="18" customHeight="1">
      <c r="A215" s="6" t="n"/>
      <c r="B215" s="7" t="n"/>
      <c r="C215" s="8" t="n"/>
      <c r="D215" s="9">
        <f>IF(OR(E215="",B215="完了"),"",IF(TODAY()&gt;E215,"超過",IF(TODAY()+3&gt;=E215,"間近","")))</f>
        <v/>
      </c>
      <c r="E215" s="10" t="n"/>
      <c r="F215" s="7" t="n"/>
      <c r="G215" s="7" t="n"/>
      <c r="H215" s="7" t="n"/>
      <c r="I215" s="10" t="n"/>
      <c r="J215" s="11">
        <f>IF(I215="","",IF(K215&lt;&gt;"",K215-I215,TODAY()-I215))</f>
        <v/>
      </c>
      <c r="K215" s="10" t="n"/>
      <c r="L215" s="10" t="n"/>
      <c r="M215" s="8" t="n"/>
      <c r="N215" s="8" t="n"/>
      <c r="O215" s="8" t="n"/>
      <c r="P215" s="8" t="n"/>
      <c r="Q215" s="8" t="n"/>
      <c r="R215" s="7" t="n"/>
      <c r="S215" s="12" t="n"/>
      <c r="T215" s="8" t="n"/>
    </row>
    <row r="216" ht="18" customHeight="1">
      <c r="A216" s="6" t="n"/>
      <c r="B216" s="7" t="n"/>
      <c r="C216" s="8" t="n"/>
      <c r="D216" s="9">
        <f>IF(OR(E216="",B216="完了"),"",IF(TODAY()&gt;E216,"超過",IF(TODAY()+3&gt;=E216,"間近","")))</f>
        <v/>
      </c>
      <c r="E216" s="10" t="n"/>
      <c r="F216" s="7" t="n"/>
      <c r="G216" s="7" t="n"/>
      <c r="H216" s="7" t="n"/>
      <c r="I216" s="10" t="n"/>
      <c r="J216" s="11">
        <f>IF(I216="","",IF(K216&lt;&gt;"",K216-I216,TODAY()-I216))</f>
        <v/>
      </c>
      <c r="K216" s="10" t="n"/>
      <c r="L216" s="10" t="n"/>
      <c r="M216" s="8" t="n"/>
      <c r="N216" s="8" t="n"/>
      <c r="O216" s="8" t="n"/>
      <c r="P216" s="8" t="n"/>
      <c r="Q216" s="8" t="n"/>
      <c r="R216" s="7" t="n"/>
      <c r="S216" s="12" t="n"/>
      <c r="T216" s="8" t="n"/>
    </row>
    <row r="217" ht="18" customHeight="1">
      <c r="A217" s="6" t="n"/>
      <c r="B217" s="7" t="n"/>
      <c r="C217" s="8" t="n"/>
      <c r="D217" s="9">
        <f>IF(OR(E217="",B217="完了"),"",IF(TODAY()&gt;E217,"超過",IF(TODAY()+3&gt;=E217,"間近","")))</f>
        <v/>
      </c>
      <c r="E217" s="10" t="n"/>
      <c r="F217" s="7" t="n"/>
      <c r="G217" s="7" t="n"/>
      <c r="H217" s="7" t="n"/>
      <c r="I217" s="10" t="n"/>
      <c r="J217" s="11">
        <f>IF(I217="","",IF(K217&lt;&gt;"",K217-I217,TODAY()-I217))</f>
        <v/>
      </c>
      <c r="K217" s="10" t="n"/>
      <c r="L217" s="10" t="n"/>
      <c r="M217" s="8" t="n"/>
      <c r="N217" s="8" t="n"/>
      <c r="O217" s="8" t="n"/>
      <c r="P217" s="8" t="n"/>
      <c r="Q217" s="8" t="n"/>
      <c r="R217" s="7" t="n"/>
      <c r="S217" s="12" t="n"/>
      <c r="T217" s="8" t="n"/>
    </row>
    <row r="218" ht="18" customHeight="1">
      <c r="A218" s="6" t="n"/>
      <c r="B218" s="7" t="n"/>
      <c r="C218" s="8" t="n"/>
      <c r="D218" s="9">
        <f>IF(OR(E218="",B218="完了"),"",IF(TODAY()&gt;E218,"超過",IF(TODAY()+3&gt;=E218,"間近","")))</f>
        <v/>
      </c>
      <c r="E218" s="10" t="n"/>
      <c r="F218" s="7" t="n"/>
      <c r="G218" s="7" t="n"/>
      <c r="H218" s="7" t="n"/>
      <c r="I218" s="10" t="n"/>
      <c r="J218" s="11">
        <f>IF(I218="","",IF(K218&lt;&gt;"",K218-I218,TODAY()-I218))</f>
        <v/>
      </c>
      <c r="K218" s="10" t="n"/>
      <c r="L218" s="10" t="n"/>
      <c r="M218" s="8" t="n"/>
      <c r="N218" s="8" t="n"/>
      <c r="O218" s="8" t="n"/>
      <c r="P218" s="8" t="n"/>
      <c r="Q218" s="8" t="n"/>
      <c r="R218" s="7" t="n"/>
      <c r="S218" s="12" t="n"/>
      <c r="T218" s="8" t="n"/>
    </row>
    <row r="219" ht="18" customHeight="1">
      <c r="A219" s="6" t="n"/>
      <c r="B219" s="7" t="n"/>
      <c r="C219" s="8" t="n"/>
      <c r="D219" s="9">
        <f>IF(OR(E219="",B219="完了"),"",IF(TODAY()&gt;E219,"超過",IF(TODAY()+3&gt;=E219,"間近","")))</f>
        <v/>
      </c>
      <c r="E219" s="10" t="n"/>
      <c r="F219" s="7" t="n"/>
      <c r="G219" s="7" t="n"/>
      <c r="H219" s="7" t="n"/>
      <c r="I219" s="10" t="n"/>
      <c r="J219" s="11">
        <f>IF(I219="","",IF(K219&lt;&gt;"",K219-I219,TODAY()-I219))</f>
        <v/>
      </c>
      <c r="K219" s="10" t="n"/>
      <c r="L219" s="10" t="n"/>
      <c r="M219" s="8" t="n"/>
      <c r="N219" s="8" t="n"/>
      <c r="O219" s="8" t="n"/>
      <c r="P219" s="8" t="n"/>
      <c r="Q219" s="8" t="n"/>
      <c r="R219" s="7" t="n"/>
      <c r="S219" s="12" t="n"/>
      <c r="T219" s="8" t="n"/>
    </row>
    <row r="220" ht="18" customHeight="1">
      <c r="A220" s="6" t="n"/>
      <c r="B220" s="7" t="n"/>
      <c r="C220" s="8" t="n"/>
      <c r="D220" s="9">
        <f>IF(OR(E220="",B220="完了"),"",IF(TODAY()&gt;E220,"超過",IF(TODAY()+3&gt;=E220,"間近","")))</f>
        <v/>
      </c>
      <c r="E220" s="10" t="n"/>
      <c r="F220" s="7" t="n"/>
      <c r="G220" s="7" t="n"/>
      <c r="H220" s="7" t="n"/>
      <c r="I220" s="10" t="n"/>
      <c r="J220" s="11">
        <f>IF(I220="","",IF(K220&lt;&gt;"",K220-I220,TODAY()-I220))</f>
        <v/>
      </c>
      <c r="K220" s="10" t="n"/>
      <c r="L220" s="10" t="n"/>
      <c r="M220" s="8" t="n"/>
      <c r="N220" s="8" t="n"/>
      <c r="O220" s="8" t="n"/>
      <c r="P220" s="8" t="n"/>
      <c r="Q220" s="8" t="n"/>
      <c r="R220" s="7" t="n"/>
      <c r="S220" s="12" t="n"/>
      <c r="T220" s="8" t="n"/>
    </row>
    <row r="221" ht="18" customHeight="1">
      <c r="A221" s="6" t="n"/>
      <c r="B221" s="7" t="n"/>
      <c r="C221" s="8" t="n"/>
      <c r="D221" s="9">
        <f>IF(OR(E221="",B221="完了"),"",IF(TODAY()&gt;E221,"超過",IF(TODAY()+3&gt;=E221,"間近","")))</f>
        <v/>
      </c>
      <c r="E221" s="10" t="n"/>
      <c r="F221" s="7" t="n"/>
      <c r="G221" s="7" t="n"/>
      <c r="H221" s="7" t="n"/>
      <c r="I221" s="10" t="n"/>
      <c r="J221" s="11">
        <f>IF(I221="","",IF(K221&lt;&gt;"",K221-I221,TODAY()-I221))</f>
        <v/>
      </c>
      <c r="K221" s="10" t="n"/>
      <c r="L221" s="10" t="n"/>
      <c r="M221" s="8" t="n"/>
      <c r="N221" s="8" t="n"/>
      <c r="O221" s="8" t="n"/>
      <c r="P221" s="8" t="n"/>
      <c r="Q221" s="8" t="n"/>
      <c r="R221" s="7" t="n"/>
      <c r="S221" s="12" t="n"/>
      <c r="T221" s="8" t="n"/>
    </row>
    <row r="222" ht="18" customHeight="1">
      <c r="A222" s="6" t="n"/>
      <c r="B222" s="7" t="n"/>
      <c r="C222" s="8" t="n"/>
      <c r="D222" s="9">
        <f>IF(OR(E222="",B222="完了"),"",IF(TODAY()&gt;E222,"超過",IF(TODAY()+3&gt;=E222,"間近","")))</f>
        <v/>
      </c>
      <c r="E222" s="10" t="n"/>
      <c r="F222" s="7" t="n"/>
      <c r="G222" s="7" t="n"/>
      <c r="H222" s="7" t="n"/>
      <c r="I222" s="10" t="n"/>
      <c r="J222" s="11">
        <f>IF(I222="","",IF(K222&lt;&gt;"",K222-I222,TODAY()-I222))</f>
        <v/>
      </c>
      <c r="K222" s="10" t="n"/>
      <c r="L222" s="10" t="n"/>
      <c r="M222" s="8" t="n"/>
      <c r="N222" s="8" t="n"/>
      <c r="O222" s="8" t="n"/>
      <c r="P222" s="8" t="n"/>
      <c r="Q222" s="8" t="n"/>
      <c r="R222" s="7" t="n"/>
      <c r="S222" s="12" t="n"/>
      <c r="T222" s="8" t="n"/>
    </row>
    <row r="223" ht="18" customHeight="1">
      <c r="A223" s="6" t="n"/>
      <c r="B223" s="7" t="n"/>
      <c r="C223" s="8" t="n"/>
      <c r="D223" s="9">
        <f>IF(OR(E223="",B223="完了"),"",IF(TODAY()&gt;E223,"超過",IF(TODAY()+3&gt;=E223,"間近","")))</f>
        <v/>
      </c>
      <c r="E223" s="10" t="n"/>
      <c r="F223" s="7" t="n"/>
      <c r="G223" s="7" t="n"/>
      <c r="H223" s="7" t="n"/>
      <c r="I223" s="10" t="n"/>
      <c r="J223" s="11">
        <f>IF(I223="","",IF(K223&lt;&gt;"",K223-I223,TODAY()-I223))</f>
        <v/>
      </c>
      <c r="K223" s="10" t="n"/>
      <c r="L223" s="10" t="n"/>
      <c r="M223" s="8" t="n"/>
      <c r="N223" s="8" t="n"/>
      <c r="O223" s="8" t="n"/>
      <c r="P223" s="8" t="n"/>
      <c r="Q223" s="8" t="n"/>
      <c r="R223" s="7" t="n"/>
      <c r="S223" s="12" t="n"/>
      <c r="T223" s="8" t="n"/>
    </row>
    <row r="224" ht="18" customHeight="1">
      <c r="A224" s="6" t="n"/>
      <c r="B224" s="7" t="n"/>
      <c r="C224" s="8" t="n"/>
      <c r="D224" s="9">
        <f>IF(OR(E224="",B224="完了"),"",IF(TODAY()&gt;E224,"超過",IF(TODAY()+3&gt;=E224,"間近","")))</f>
        <v/>
      </c>
      <c r="E224" s="10" t="n"/>
      <c r="F224" s="7" t="n"/>
      <c r="G224" s="7" t="n"/>
      <c r="H224" s="7" t="n"/>
      <c r="I224" s="10" t="n"/>
      <c r="J224" s="11">
        <f>IF(I224="","",IF(K224&lt;&gt;"",K224-I224,TODAY()-I224))</f>
        <v/>
      </c>
      <c r="K224" s="10" t="n"/>
      <c r="L224" s="10" t="n"/>
      <c r="M224" s="8" t="n"/>
      <c r="N224" s="8" t="n"/>
      <c r="O224" s="8" t="n"/>
      <c r="P224" s="8" t="n"/>
      <c r="Q224" s="8" t="n"/>
      <c r="R224" s="7" t="n"/>
      <c r="S224" s="12" t="n"/>
      <c r="T224" s="8" t="n"/>
    </row>
    <row r="225" ht="18" customHeight="1">
      <c r="A225" s="6" t="n"/>
      <c r="B225" s="7" t="n"/>
      <c r="C225" s="8" t="n"/>
      <c r="D225" s="9">
        <f>IF(OR(E225="",B225="完了"),"",IF(TODAY()&gt;E225,"超過",IF(TODAY()+3&gt;=E225,"間近","")))</f>
        <v/>
      </c>
      <c r="E225" s="10" t="n"/>
      <c r="F225" s="7" t="n"/>
      <c r="G225" s="7" t="n"/>
      <c r="H225" s="7" t="n"/>
      <c r="I225" s="10" t="n"/>
      <c r="J225" s="11">
        <f>IF(I225="","",IF(K225&lt;&gt;"",K225-I225,TODAY()-I225))</f>
        <v/>
      </c>
      <c r="K225" s="10" t="n"/>
      <c r="L225" s="10" t="n"/>
      <c r="M225" s="8" t="n"/>
      <c r="N225" s="8" t="n"/>
      <c r="O225" s="8" t="n"/>
      <c r="P225" s="8" t="n"/>
      <c r="Q225" s="8" t="n"/>
      <c r="R225" s="7" t="n"/>
      <c r="S225" s="12" t="n"/>
      <c r="T225" s="8" t="n"/>
    </row>
    <row r="226" ht="18" customHeight="1">
      <c r="A226" s="6" t="n"/>
      <c r="B226" s="7" t="n"/>
      <c r="C226" s="8" t="n"/>
      <c r="D226" s="9">
        <f>IF(OR(E226="",B226="完了"),"",IF(TODAY()&gt;E226,"超過",IF(TODAY()+3&gt;=E226,"間近","")))</f>
        <v/>
      </c>
      <c r="E226" s="10" t="n"/>
      <c r="F226" s="7" t="n"/>
      <c r="G226" s="7" t="n"/>
      <c r="H226" s="7" t="n"/>
      <c r="I226" s="10" t="n"/>
      <c r="J226" s="11">
        <f>IF(I226="","",IF(K226&lt;&gt;"",K226-I226,TODAY()-I226))</f>
        <v/>
      </c>
      <c r="K226" s="10" t="n"/>
      <c r="L226" s="10" t="n"/>
      <c r="M226" s="8" t="n"/>
      <c r="N226" s="8" t="n"/>
      <c r="O226" s="8" t="n"/>
      <c r="P226" s="8" t="n"/>
      <c r="Q226" s="8" t="n"/>
      <c r="R226" s="7" t="n"/>
      <c r="S226" s="12" t="n"/>
      <c r="T226" s="8" t="n"/>
    </row>
    <row r="227" ht="18" customHeight="1">
      <c r="A227" s="6" t="n"/>
      <c r="B227" s="7" t="n"/>
      <c r="C227" s="8" t="n"/>
      <c r="D227" s="9">
        <f>IF(OR(E227="",B227="完了"),"",IF(TODAY()&gt;E227,"超過",IF(TODAY()+3&gt;=E227,"間近","")))</f>
        <v/>
      </c>
      <c r="E227" s="10" t="n"/>
      <c r="F227" s="7" t="n"/>
      <c r="G227" s="7" t="n"/>
      <c r="H227" s="7" t="n"/>
      <c r="I227" s="10" t="n"/>
      <c r="J227" s="11">
        <f>IF(I227="","",IF(K227&lt;&gt;"",K227-I227,TODAY()-I227))</f>
        <v/>
      </c>
      <c r="K227" s="10" t="n"/>
      <c r="L227" s="10" t="n"/>
      <c r="M227" s="8" t="n"/>
      <c r="N227" s="8" t="n"/>
      <c r="O227" s="8" t="n"/>
      <c r="P227" s="8" t="n"/>
      <c r="Q227" s="8" t="n"/>
      <c r="R227" s="7" t="n"/>
      <c r="S227" s="12" t="n"/>
      <c r="T227" s="8" t="n"/>
    </row>
    <row r="228" ht="18" customHeight="1">
      <c r="A228" s="6" t="n"/>
      <c r="B228" s="7" t="n"/>
      <c r="C228" s="8" t="n"/>
      <c r="D228" s="9">
        <f>IF(OR(E228="",B228="完了"),"",IF(TODAY()&gt;E228,"超過",IF(TODAY()+3&gt;=E228,"間近","")))</f>
        <v/>
      </c>
      <c r="E228" s="10" t="n"/>
      <c r="F228" s="7" t="n"/>
      <c r="G228" s="7" t="n"/>
      <c r="H228" s="7" t="n"/>
      <c r="I228" s="10" t="n"/>
      <c r="J228" s="11">
        <f>IF(I228="","",IF(K228&lt;&gt;"",K228-I228,TODAY()-I228))</f>
        <v/>
      </c>
      <c r="K228" s="10" t="n"/>
      <c r="L228" s="10" t="n"/>
      <c r="M228" s="8" t="n"/>
      <c r="N228" s="8" t="n"/>
      <c r="O228" s="8" t="n"/>
      <c r="P228" s="8" t="n"/>
      <c r="Q228" s="8" t="n"/>
      <c r="R228" s="7" t="n"/>
      <c r="S228" s="12" t="n"/>
      <c r="T228" s="8" t="n"/>
    </row>
    <row r="229" ht="18" customHeight="1">
      <c r="A229" s="6" t="n"/>
      <c r="B229" s="7" t="n"/>
      <c r="C229" s="8" t="n"/>
      <c r="D229" s="9">
        <f>IF(OR(E229="",B229="完了"),"",IF(TODAY()&gt;E229,"超過",IF(TODAY()+3&gt;=E229,"間近","")))</f>
        <v/>
      </c>
      <c r="E229" s="10" t="n"/>
      <c r="F229" s="7" t="n"/>
      <c r="G229" s="7" t="n"/>
      <c r="H229" s="7" t="n"/>
      <c r="I229" s="10" t="n"/>
      <c r="J229" s="11">
        <f>IF(I229="","",IF(K229&lt;&gt;"",K229-I229,TODAY()-I229))</f>
        <v/>
      </c>
      <c r="K229" s="10" t="n"/>
      <c r="L229" s="10" t="n"/>
      <c r="M229" s="8" t="n"/>
      <c r="N229" s="8" t="n"/>
      <c r="O229" s="8" t="n"/>
      <c r="P229" s="8" t="n"/>
      <c r="Q229" s="8" t="n"/>
      <c r="R229" s="7" t="n"/>
      <c r="S229" s="12" t="n"/>
      <c r="T229" s="8" t="n"/>
    </row>
    <row r="230" ht="18" customHeight="1">
      <c r="A230" s="6" t="n"/>
      <c r="B230" s="7" t="n"/>
      <c r="C230" s="8" t="n"/>
      <c r="D230" s="9">
        <f>IF(OR(E230="",B230="完了"),"",IF(TODAY()&gt;E230,"超過",IF(TODAY()+3&gt;=E230,"間近","")))</f>
        <v/>
      </c>
      <c r="E230" s="10" t="n"/>
      <c r="F230" s="7" t="n"/>
      <c r="G230" s="7" t="n"/>
      <c r="H230" s="7" t="n"/>
      <c r="I230" s="10" t="n"/>
      <c r="J230" s="11">
        <f>IF(I230="","",IF(K230&lt;&gt;"",K230-I230,TODAY()-I230))</f>
        <v/>
      </c>
      <c r="K230" s="10" t="n"/>
      <c r="L230" s="10" t="n"/>
      <c r="M230" s="8" t="n"/>
      <c r="N230" s="8" t="n"/>
      <c r="O230" s="8" t="n"/>
      <c r="P230" s="8" t="n"/>
      <c r="Q230" s="8" t="n"/>
      <c r="R230" s="7" t="n"/>
      <c r="S230" s="12" t="n"/>
      <c r="T230" s="8" t="n"/>
    </row>
    <row r="231" ht="18" customHeight="1">
      <c r="A231" s="6" t="n"/>
      <c r="B231" s="7" t="n"/>
      <c r="C231" s="8" t="n"/>
      <c r="D231" s="9">
        <f>IF(OR(E231="",B231="完了"),"",IF(TODAY()&gt;E231,"超過",IF(TODAY()+3&gt;=E231,"間近","")))</f>
        <v/>
      </c>
      <c r="E231" s="10" t="n"/>
      <c r="F231" s="7" t="n"/>
      <c r="G231" s="7" t="n"/>
      <c r="H231" s="7" t="n"/>
      <c r="I231" s="10" t="n"/>
      <c r="J231" s="11">
        <f>IF(I231="","",IF(K231&lt;&gt;"",K231-I231,TODAY()-I231))</f>
        <v/>
      </c>
      <c r="K231" s="10" t="n"/>
      <c r="L231" s="10" t="n"/>
      <c r="M231" s="8" t="n"/>
      <c r="N231" s="8" t="n"/>
      <c r="O231" s="8" t="n"/>
      <c r="P231" s="8" t="n"/>
      <c r="Q231" s="8" t="n"/>
      <c r="R231" s="7" t="n"/>
      <c r="S231" s="12" t="n"/>
      <c r="T231" s="8" t="n"/>
    </row>
    <row r="232" ht="18" customHeight="1">
      <c r="A232" s="6" t="n"/>
      <c r="B232" s="7" t="n"/>
      <c r="C232" s="8" t="n"/>
      <c r="D232" s="9">
        <f>IF(OR(E232="",B232="完了"),"",IF(TODAY()&gt;E232,"超過",IF(TODAY()+3&gt;=E232,"間近","")))</f>
        <v/>
      </c>
      <c r="E232" s="10" t="n"/>
      <c r="F232" s="7" t="n"/>
      <c r="G232" s="7" t="n"/>
      <c r="H232" s="7" t="n"/>
      <c r="I232" s="10" t="n"/>
      <c r="J232" s="11">
        <f>IF(I232="","",IF(K232&lt;&gt;"",K232-I232,TODAY()-I232))</f>
        <v/>
      </c>
      <c r="K232" s="10" t="n"/>
      <c r="L232" s="10" t="n"/>
      <c r="M232" s="8" t="n"/>
      <c r="N232" s="8" t="n"/>
      <c r="O232" s="8" t="n"/>
      <c r="P232" s="8" t="n"/>
      <c r="Q232" s="8" t="n"/>
      <c r="R232" s="7" t="n"/>
      <c r="S232" s="12" t="n"/>
      <c r="T232" s="8" t="n"/>
    </row>
    <row r="233" ht="18" customHeight="1">
      <c r="A233" s="6" t="n"/>
      <c r="B233" s="7" t="n"/>
      <c r="C233" s="8" t="n"/>
      <c r="D233" s="9">
        <f>IF(OR(E233="",B233="完了"),"",IF(TODAY()&gt;E233,"超過",IF(TODAY()+3&gt;=E233,"間近","")))</f>
        <v/>
      </c>
      <c r="E233" s="10" t="n"/>
      <c r="F233" s="7" t="n"/>
      <c r="G233" s="7" t="n"/>
      <c r="H233" s="7" t="n"/>
      <c r="I233" s="10" t="n"/>
      <c r="J233" s="11">
        <f>IF(I233="","",IF(K233&lt;&gt;"",K233-I233,TODAY()-I233))</f>
        <v/>
      </c>
      <c r="K233" s="10" t="n"/>
      <c r="L233" s="10" t="n"/>
      <c r="M233" s="8" t="n"/>
      <c r="N233" s="8" t="n"/>
      <c r="O233" s="8" t="n"/>
      <c r="P233" s="8" t="n"/>
      <c r="Q233" s="8" t="n"/>
      <c r="R233" s="7" t="n"/>
      <c r="S233" s="12" t="n"/>
      <c r="T233" s="8" t="n"/>
    </row>
    <row r="234" ht="18" customHeight="1">
      <c r="A234" s="6" t="n"/>
      <c r="B234" s="7" t="n"/>
      <c r="C234" s="8" t="n"/>
      <c r="D234" s="9">
        <f>IF(OR(E234="",B234="完了"),"",IF(TODAY()&gt;E234,"超過",IF(TODAY()+3&gt;=E234,"間近","")))</f>
        <v/>
      </c>
      <c r="E234" s="10" t="n"/>
      <c r="F234" s="7" t="n"/>
      <c r="G234" s="7" t="n"/>
      <c r="H234" s="7" t="n"/>
      <c r="I234" s="10" t="n"/>
      <c r="J234" s="11">
        <f>IF(I234="","",IF(K234&lt;&gt;"",K234-I234,TODAY()-I234))</f>
        <v/>
      </c>
      <c r="K234" s="10" t="n"/>
      <c r="L234" s="10" t="n"/>
      <c r="M234" s="8" t="n"/>
      <c r="N234" s="8" t="n"/>
      <c r="O234" s="8" t="n"/>
      <c r="P234" s="8" t="n"/>
      <c r="Q234" s="8" t="n"/>
      <c r="R234" s="7" t="n"/>
      <c r="S234" s="12" t="n"/>
      <c r="T234" s="8" t="n"/>
    </row>
    <row r="235" ht="18" customHeight="1">
      <c r="A235" s="6" t="n"/>
      <c r="B235" s="7" t="n"/>
      <c r="C235" s="8" t="n"/>
      <c r="D235" s="9">
        <f>IF(OR(E235="",B235="完了"),"",IF(TODAY()&gt;E235,"超過",IF(TODAY()+3&gt;=E235,"間近","")))</f>
        <v/>
      </c>
      <c r="E235" s="10" t="n"/>
      <c r="F235" s="7" t="n"/>
      <c r="G235" s="7" t="n"/>
      <c r="H235" s="7" t="n"/>
      <c r="I235" s="10" t="n"/>
      <c r="J235" s="11">
        <f>IF(I235="","",IF(K235&lt;&gt;"",K235-I235,TODAY()-I235))</f>
        <v/>
      </c>
      <c r="K235" s="10" t="n"/>
      <c r="L235" s="10" t="n"/>
      <c r="M235" s="8" t="n"/>
      <c r="N235" s="8" t="n"/>
      <c r="O235" s="8" t="n"/>
      <c r="P235" s="8" t="n"/>
      <c r="Q235" s="8" t="n"/>
      <c r="R235" s="7" t="n"/>
      <c r="S235" s="12" t="n"/>
      <c r="T235" s="8" t="n"/>
    </row>
    <row r="236" ht="18" customHeight="1">
      <c r="A236" s="6" t="n"/>
      <c r="B236" s="7" t="n"/>
      <c r="C236" s="8" t="n"/>
      <c r="D236" s="9">
        <f>IF(OR(E236="",B236="完了"),"",IF(TODAY()&gt;E236,"超過",IF(TODAY()+3&gt;=E236,"間近","")))</f>
        <v/>
      </c>
      <c r="E236" s="10" t="n"/>
      <c r="F236" s="7" t="n"/>
      <c r="G236" s="7" t="n"/>
      <c r="H236" s="7" t="n"/>
      <c r="I236" s="10" t="n"/>
      <c r="J236" s="11">
        <f>IF(I236="","",IF(K236&lt;&gt;"",K236-I236,TODAY()-I236))</f>
        <v/>
      </c>
      <c r="K236" s="10" t="n"/>
      <c r="L236" s="10" t="n"/>
      <c r="M236" s="8" t="n"/>
      <c r="N236" s="8" t="n"/>
      <c r="O236" s="8" t="n"/>
      <c r="P236" s="8" t="n"/>
      <c r="Q236" s="8" t="n"/>
      <c r="R236" s="7" t="n"/>
      <c r="S236" s="12" t="n"/>
      <c r="T236" s="8" t="n"/>
    </row>
    <row r="237" ht="18" customHeight="1">
      <c r="A237" s="6" t="n"/>
      <c r="B237" s="7" t="n"/>
      <c r="C237" s="8" t="n"/>
      <c r="D237" s="9">
        <f>IF(OR(E237="",B237="完了"),"",IF(TODAY()&gt;E237,"超過",IF(TODAY()+3&gt;=E237,"間近","")))</f>
        <v/>
      </c>
      <c r="E237" s="10" t="n"/>
      <c r="F237" s="7" t="n"/>
      <c r="G237" s="7" t="n"/>
      <c r="H237" s="7" t="n"/>
      <c r="I237" s="10" t="n"/>
      <c r="J237" s="11">
        <f>IF(I237="","",IF(K237&lt;&gt;"",K237-I237,TODAY()-I237))</f>
        <v/>
      </c>
      <c r="K237" s="10" t="n"/>
      <c r="L237" s="10" t="n"/>
      <c r="M237" s="8" t="n"/>
      <c r="N237" s="8" t="n"/>
      <c r="O237" s="8" t="n"/>
      <c r="P237" s="8" t="n"/>
      <c r="Q237" s="8" t="n"/>
      <c r="R237" s="7" t="n"/>
      <c r="S237" s="12" t="n"/>
      <c r="T237" s="8" t="n"/>
    </row>
    <row r="238" ht="18" customHeight="1">
      <c r="A238" s="6" t="n"/>
      <c r="B238" s="7" t="n"/>
      <c r="C238" s="8" t="n"/>
      <c r="D238" s="9">
        <f>IF(OR(E238="",B238="完了"),"",IF(TODAY()&gt;E238,"超過",IF(TODAY()+3&gt;=E238,"間近","")))</f>
        <v/>
      </c>
      <c r="E238" s="10" t="n"/>
      <c r="F238" s="7" t="n"/>
      <c r="G238" s="7" t="n"/>
      <c r="H238" s="7" t="n"/>
      <c r="I238" s="10" t="n"/>
      <c r="J238" s="11">
        <f>IF(I238="","",IF(K238&lt;&gt;"",K238-I238,TODAY()-I238))</f>
        <v/>
      </c>
      <c r="K238" s="10" t="n"/>
      <c r="L238" s="10" t="n"/>
      <c r="M238" s="8" t="n"/>
      <c r="N238" s="8" t="n"/>
      <c r="O238" s="8" t="n"/>
      <c r="P238" s="8" t="n"/>
      <c r="Q238" s="8" t="n"/>
      <c r="R238" s="7" t="n"/>
      <c r="S238" s="12" t="n"/>
      <c r="T238" s="8" t="n"/>
    </row>
    <row r="239" ht="18" customHeight="1">
      <c r="A239" s="6" t="n"/>
      <c r="B239" s="7" t="n"/>
      <c r="C239" s="8" t="n"/>
      <c r="D239" s="9">
        <f>IF(OR(E239="",B239="完了"),"",IF(TODAY()&gt;E239,"超過",IF(TODAY()+3&gt;=E239,"間近","")))</f>
        <v/>
      </c>
      <c r="E239" s="10" t="n"/>
      <c r="F239" s="7" t="n"/>
      <c r="G239" s="7" t="n"/>
      <c r="H239" s="7" t="n"/>
      <c r="I239" s="10" t="n"/>
      <c r="J239" s="11">
        <f>IF(I239="","",IF(K239&lt;&gt;"",K239-I239,TODAY()-I239))</f>
        <v/>
      </c>
      <c r="K239" s="10" t="n"/>
      <c r="L239" s="10" t="n"/>
      <c r="M239" s="8" t="n"/>
      <c r="N239" s="8" t="n"/>
      <c r="O239" s="8" t="n"/>
      <c r="P239" s="8" t="n"/>
      <c r="Q239" s="8" t="n"/>
      <c r="R239" s="7" t="n"/>
      <c r="S239" s="12" t="n"/>
      <c r="T239" s="8" t="n"/>
    </row>
    <row r="240" ht="18" customHeight="1">
      <c r="A240" s="6" t="n"/>
      <c r="B240" s="7" t="n"/>
      <c r="C240" s="8" t="n"/>
      <c r="D240" s="9">
        <f>IF(OR(E240="",B240="完了"),"",IF(TODAY()&gt;E240,"超過",IF(TODAY()+3&gt;=E240,"間近","")))</f>
        <v/>
      </c>
      <c r="E240" s="10" t="n"/>
      <c r="F240" s="7" t="n"/>
      <c r="G240" s="7" t="n"/>
      <c r="H240" s="7" t="n"/>
      <c r="I240" s="10" t="n"/>
      <c r="J240" s="11">
        <f>IF(I240="","",IF(K240&lt;&gt;"",K240-I240,TODAY()-I240))</f>
        <v/>
      </c>
      <c r="K240" s="10" t="n"/>
      <c r="L240" s="10" t="n"/>
      <c r="M240" s="8" t="n"/>
      <c r="N240" s="8" t="n"/>
      <c r="O240" s="8" t="n"/>
      <c r="P240" s="8" t="n"/>
      <c r="Q240" s="8" t="n"/>
      <c r="R240" s="7" t="n"/>
      <c r="S240" s="12" t="n"/>
      <c r="T240" s="8" t="n"/>
    </row>
    <row r="241" ht="18" customHeight="1">
      <c r="A241" s="6" t="n"/>
      <c r="B241" s="7" t="n"/>
      <c r="C241" s="8" t="n"/>
      <c r="D241" s="9">
        <f>IF(OR(E241="",B241="完了"),"",IF(TODAY()&gt;E241,"超過",IF(TODAY()+3&gt;=E241,"間近","")))</f>
        <v/>
      </c>
      <c r="E241" s="10" t="n"/>
      <c r="F241" s="7" t="n"/>
      <c r="G241" s="7" t="n"/>
      <c r="H241" s="7" t="n"/>
      <c r="I241" s="10" t="n"/>
      <c r="J241" s="11">
        <f>IF(I241="","",IF(K241&lt;&gt;"",K241-I241,TODAY()-I241))</f>
        <v/>
      </c>
      <c r="K241" s="10" t="n"/>
      <c r="L241" s="10" t="n"/>
      <c r="M241" s="8" t="n"/>
      <c r="N241" s="8" t="n"/>
      <c r="O241" s="8" t="n"/>
      <c r="P241" s="8" t="n"/>
      <c r="Q241" s="8" t="n"/>
      <c r="R241" s="7" t="n"/>
      <c r="S241" s="12" t="n"/>
      <c r="T241" s="8" t="n"/>
    </row>
    <row r="242" ht="18" customHeight="1">
      <c r="A242" s="6" t="n"/>
      <c r="B242" s="7" t="n"/>
      <c r="C242" s="8" t="n"/>
      <c r="D242" s="9">
        <f>IF(OR(E242="",B242="完了"),"",IF(TODAY()&gt;E242,"超過",IF(TODAY()+3&gt;=E242,"間近","")))</f>
        <v/>
      </c>
      <c r="E242" s="10" t="n"/>
      <c r="F242" s="7" t="n"/>
      <c r="G242" s="7" t="n"/>
      <c r="H242" s="7" t="n"/>
      <c r="I242" s="10" t="n"/>
      <c r="J242" s="11">
        <f>IF(I242="","",IF(K242&lt;&gt;"",K242-I242,TODAY()-I242))</f>
        <v/>
      </c>
      <c r="K242" s="10" t="n"/>
      <c r="L242" s="10" t="n"/>
      <c r="M242" s="8" t="n"/>
      <c r="N242" s="8" t="n"/>
      <c r="O242" s="8" t="n"/>
      <c r="P242" s="8" t="n"/>
      <c r="Q242" s="8" t="n"/>
      <c r="R242" s="7" t="n"/>
      <c r="S242" s="12" t="n"/>
      <c r="T242" s="8" t="n"/>
    </row>
    <row r="243" ht="18" customHeight="1">
      <c r="A243" s="6" t="n"/>
      <c r="B243" s="7" t="n"/>
      <c r="C243" s="8" t="n"/>
      <c r="D243" s="9">
        <f>IF(OR(E243="",B243="完了"),"",IF(TODAY()&gt;E243,"超過",IF(TODAY()+3&gt;=E243,"間近","")))</f>
        <v/>
      </c>
      <c r="E243" s="10" t="n"/>
      <c r="F243" s="7" t="n"/>
      <c r="G243" s="7" t="n"/>
      <c r="H243" s="7" t="n"/>
      <c r="I243" s="10" t="n"/>
      <c r="J243" s="11">
        <f>IF(I243="","",IF(K243&lt;&gt;"",K243-I243,TODAY()-I243))</f>
        <v/>
      </c>
      <c r="K243" s="10" t="n"/>
      <c r="L243" s="10" t="n"/>
      <c r="M243" s="8" t="n"/>
      <c r="N243" s="8" t="n"/>
      <c r="O243" s="8" t="n"/>
      <c r="P243" s="8" t="n"/>
      <c r="Q243" s="8" t="n"/>
      <c r="R243" s="7" t="n"/>
      <c r="S243" s="12" t="n"/>
      <c r="T243" s="8" t="n"/>
    </row>
    <row r="244" ht="18" customHeight="1">
      <c r="A244" s="6" t="n"/>
      <c r="B244" s="7" t="n"/>
      <c r="C244" s="8" t="n"/>
      <c r="D244" s="9">
        <f>IF(OR(E244="",B244="完了"),"",IF(TODAY()&gt;E244,"超過",IF(TODAY()+3&gt;=E244,"間近","")))</f>
        <v/>
      </c>
      <c r="E244" s="10" t="n"/>
      <c r="F244" s="7" t="n"/>
      <c r="G244" s="7" t="n"/>
      <c r="H244" s="7" t="n"/>
      <c r="I244" s="10" t="n"/>
      <c r="J244" s="11">
        <f>IF(I244="","",IF(K244&lt;&gt;"",K244-I244,TODAY()-I244))</f>
        <v/>
      </c>
      <c r="K244" s="10" t="n"/>
      <c r="L244" s="10" t="n"/>
      <c r="M244" s="8" t="n"/>
      <c r="N244" s="8" t="n"/>
      <c r="O244" s="8" t="n"/>
      <c r="P244" s="8" t="n"/>
      <c r="Q244" s="8" t="n"/>
      <c r="R244" s="7" t="n"/>
      <c r="S244" s="12" t="n"/>
      <c r="T244" s="8" t="n"/>
    </row>
    <row r="245" ht="18" customHeight="1">
      <c r="A245" s="6" t="n"/>
      <c r="B245" s="7" t="n"/>
      <c r="C245" s="8" t="n"/>
      <c r="D245" s="9">
        <f>IF(OR(E245="",B245="完了"),"",IF(TODAY()&gt;E245,"超過",IF(TODAY()+3&gt;=E245,"間近","")))</f>
        <v/>
      </c>
      <c r="E245" s="10" t="n"/>
      <c r="F245" s="7" t="n"/>
      <c r="G245" s="7" t="n"/>
      <c r="H245" s="7" t="n"/>
      <c r="I245" s="10" t="n"/>
      <c r="J245" s="11">
        <f>IF(I245="","",IF(K245&lt;&gt;"",K245-I245,TODAY()-I245))</f>
        <v/>
      </c>
      <c r="K245" s="10" t="n"/>
      <c r="L245" s="10" t="n"/>
      <c r="M245" s="8" t="n"/>
      <c r="N245" s="8" t="n"/>
      <c r="O245" s="8" t="n"/>
      <c r="P245" s="8" t="n"/>
      <c r="Q245" s="8" t="n"/>
      <c r="R245" s="7" t="n"/>
      <c r="S245" s="12" t="n"/>
      <c r="T245" s="8" t="n"/>
    </row>
    <row r="246" ht="18" customHeight="1">
      <c r="A246" s="6" t="n"/>
      <c r="B246" s="7" t="n"/>
      <c r="C246" s="8" t="n"/>
      <c r="D246" s="9">
        <f>IF(OR(E246="",B246="完了"),"",IF(TODAY()&gt;E246,"超過",IF(TODAY()+3&gt;=E246,"間近","")))</f>
        <v/>
      </c>
      <c r="E246" s="10" t="n"/>
      <c r="F246" s="7" t="n"/>
      <c r="G246" s="7" t="n"/>
      <c r="H246" s="7" t="n"/>
      <c r="I246" s="10" t="n"/>
      <c r="J246" s="11">
        <f>IF(I246="","",IF(K246&lt;&gt;"",K246-I246,TODAY()-I246))</f>
        <v/>
      </c>
      <c r="K246" s="10" t="n"/>
      <c r="L246" s="10" t="n"/>
      <c r="M246" s="8" t="n"/>
      <c r="N246" s="8" t="n"/>
      <c r="O246" s="8" t="n"/>
      <c r="P246" s="8" t="n"/>
      <c r="Q246" s="8" t="n"/>
      <c r="R246" s="7" t="n"/>
      <c r="S246" s="12" t="n"/>
      <c r="T246" s="8" t="n"/>
    </row>
    <row r="247" ht="18" customHeight="1">
      <c r="A247" s="6" t="n"/>
      <c r="B247" s="7" t="n"/>
      <c r="C247" s="8" t="n"/>
      <c r="D247" s="9">
        <f>IF(OR(E247="",B247="完了"),"",IF(TODAY()&gt;E247,"超過",IF(TODAY()+3&gt;=E247,"間近","")))</f>
        <v/>
      </c>
      <c r="E247" s="10" t="n"/>
      <c r="F247" s="7" t="n"/>
      <c r="G247" s="7" t="n"/>
      <c r="H247" s="7" t="n"/>
      <c r="I247" s="10" t="n"/>
      <c r="J247" s="11">
        <f>IF(I247="","",IF(K247&lt;&gt;"",K247-I247,TODAY()-I247))</f>
        <v/>
      </c>
      <c r="K247" s="10" t="n"/>
      <c r="L247" s="10" t="n"/>
      <c r="M247" s="8" t="n"/>
      <c r="N247" s="8" t="n"/>
      <c r="O247" s="8" t="n"/>
      <c r="P247" s="8" t="n"/>
      <c r="Q247" s="8" t="n"/>
      <c r="R247" s="7" t="n"/>
      <c r="S247" s="12" t="n"/>
      <c r="T247" s="8" t="n"/>
    </row>
    <row r="248" ht="18" customHeight="1">
      <c r="A248" s="6" t="n"/>
      <c r="B248" s="7" t="n"/>
      <c r="C248" s="8" t="n"/>
      <c r="D248" s="9">
        <f>IF(OR(E248="",B248="完了"),"",IF(TODAY()&gt;E248,"超過",IF(TODAY()+3&gt;=E248,"間近","")))</f>
        <v/>
      </c>
      <c r="E248" s="10" t="n"/>
      <c r="F248" s="7" t="n"/>
      <c r="G248" s="7" t="n"/>
      <c r="H248" s="7" t="n"/>
      <c r="I248" s="10" t="n"/>
      <c r="J248" s="11">
        <f>IF(I248="","",IF(K248&lt;&gt;"",K248-I248,TODAY()-I248))</f>
        <v/>
      </c>
      <c r="K248" s="10" t="n"/>
      <c r="L248" s="10" t="n"/>
      <c r="M248" s="8" t="n"/>
      <c r="N248" s="8" t="n"/>
      <c r="O248" s="8" t="n"/>
      <c r="P248" s="8" t="n"/>
      <c r="Q248" s="8" t="n"/>
      <c r="R248" s="7" t="n"/>
      <c r="S248" s="12" t="n"/>
      <c r="T248" s="8" t="n"/>
    </row>
    <row r="249" ht="18" customHeight="1">
      <c r="A249" s="6" t="n"/>
      <c r="B249" s="7" t="n"/>
      <c r="C249" s="8" t="n"/>
      <c r="D249" s="9">
        <f>IF(OR(E249="",B249="完了"),"",IF(TODAY()&gt;E249,"超過",IF(TODAY()+3&gt;=E249,"間近","")))</f>
        <v/>
      </c>
      <c r="E249" s="10" t="n"/>
      <c r="F249" s="7" t="n"/>
      <c r="G249" s="7" t="n"/>
      <c r="H249" s="7" t="n"/>
      <c r="I249" s="10" t="n"/>
      <c r="J249" s="11">
        <f>IF(I249="","",IF(K249&lt;&gt;"",K249-I249,TODAY()-I249))</f>
        <v/>
      </c>
      <c r="K249" s="10" t="n"/>
      <c r="L249" s="10" t="n"/>
      <c r="M249" s="8" t="n"/>
      <c r="N249" s="8" t="n"/>
      <c r="O249" s="8" t="n"/>
      <c r="P249" s="8" t="n"/>
      <c r="Q249" s="8" t="n"/>
      <c r="R249" s="7" t="n"/>
      <c r="S249" s="12" t="n"/>
      <c r="T249" s="8" t="n"/>
    </row>
    <row r="250" ht="18" customHeight="1">
      <c r="A250" s="6" t="n"/>
      <c r="B250" s="7" t="n"/>
      <c r="C250" s="8" t="n"/>
      <c r="D250" s="9">
        <f>IF(OR(E250="",B250="完了"),"",IF(TODAY()&gt;E250,"超過",IF(TODAY()+3&gt;=E250,"間近","")))</f>
        <v/>
      </c>
      <c r="E250" s="10" t="n"/>
      <c r="F250" s="7" t="n"/>
      <c r="G250" s="7" t="n"/>
      <c r="H250" s="7" t="n"/>
      <c r="I250" s="10" t="n"/>
      <c r="J250" s="11">
        <f>IF(I250="","",IF(K250&lt;&gt;"",K250-I250,TODAY()-I250))</f>
        <v/>
      </c>
      <c r="K250" s="10" t="n"/>
      <c r="L250" s="10" t="n"/>
      <c r="M250" s="8" t="n"/>
      <c r="N250" s="8" t="n"/>
      <c r="O250" s="8" t="n"/>
      <c r="P250" s="8" t="n"/>
      <c r="Q250" s="8" t="n"/>
      <c r="R250" s="7" t="n"/>
      <c r="S250" s="12" t="n"/>
      <c r="T250" s="8" t="n"/>
    </row>
    <row r="251" ht="18" customHeight="1">
      <c r="A251" s="6" t="n"/>
      <c r="B251" s="7" t="n"/>
      <c r="C251" s="8" t="n"/>
      <c r="D251" s="9">
        <f>IF(OR(E251="",B251="完了"),"",IF(TODAY()&gt;E251,"超過",IF(TODAY()+3&gt;=E251,"間近","")))</f>
        <v/>
      </c>
      <c r="E251" s="10" t="n"/>
      <c r="F251" s="7" t="n"/>
      <c r="G251" s="7" t="n"/>
      <c r="H251" s="7" t="n"/>
      <c r="I251" s="10" t="n"/>
      <c r="J251" s="11">
        <f>IF(I251="","",IF(K251&lt;&gt;"",K251-I251,TODAY()-I251))</f>
        <v/>
      </c>
      <c r="K251" s="10" t="n"/>
      <c r="L251" s="10" t="n"/>
      <c r="M251" s="8" t="n"/>
      <c r="N251" s="8" t="n"/>
      <c r="O251" s="8" t="n"/>
      <c r="P251" s="8" t="n"/>
      <c r="Q251" s="8" t="n"/>
      <c r="R251" s="7" t="n"/>
      <c r="S251" s="12" t="n"/>
      <c r="T251" s="8" t="n"/>
    </row>
    <row r="252" ht="18" customHeight="1">
      <c r="A252" s="6" t="n"/>
      <c r="B252" s="7" t="n"/>
      <c r="C252" s="8" t="n"/>
      <c r="D252" s="9">
        <f>IF(OR(E252="",B252="完了"),"",IF(TODAY()&gt;E252,"超過",IF(TODAY()+3&gt;=E252,"間近","")))</f>
        <v/>
      </c>
      <c r="E252" s="10" t="n"/>
      <c r="F252" s="7" t="n"/>
      <c r="G252" s="7" t="n"/>
      <c r="H252" s="7" t="n"/>
      <c r="I252" s="10" t="n"/>
      <c r="J252" s="11">
        <f>IF(I252="","",IF(K252&lt;&gt;"",K252-I252,TODAY()-I252))</f>
        <v/>
      </c>
      <c r="K252" s="10" t="n"/>
      <c r="L252" s="10" t="n"/>
      <c r="M252" s="8" t="n"/>
      <c r="N252" s="8" t="n"/>
      <c r="O252" s="8" t="n"/>
      <c r="P252" s="8" t="n"/>
      <c r="Q252" s="8" t="n"/>
      <c r="R252" s="7" t="n"/>
      <c r="S252" s="12" t="n"/>
      <c r="T252" s="8" t="n"/>
    </row>
    <row r="253" ht="18" customHeight="1">
      <c r="A253" s="6" t="n"/>
      <c r="B253" s="7" t="n"/>
      <c r="C253" s="8" t="n"/>
      <c r="D253" s="9">
        <f>IF(OR(E253="",B253="完了"),"",IF(TODAY()&gt;E253,"超過",IF(TODAY()+3&gt;=E253,"間近","")))</f>
        <v/>
      </c>
      <c r="E253" s="10" t="n"/>
      <c r="F253" s="7" t="n"/>
      <c r="G253" s="7" t="n"/>
      <c r="H253" s="7" t="n"/>
      <c r="I253" s="10" t="n"/>
      <c r="J253" s="11">
        <f>IF(I253="","",IF(K253&lt;&gt;"",K253-I253,TODAY()-I253))</f>
        <v/>
      </c>
      <c r="K253" s="10" t="n"/>
      <c r="L253" s="10" t="n"/>
      <c r="M253" s="8" t="n"/>
      <c r="N253" s="8" t="n"/>
      <c r="O253" s="8" t="n"/>
      <c r="P253" s="8" t="n"/>
      <c r="Q253" s="8" t="n"/>
      <c r="R253" s="7" t="n"/>
      <c r="S253" s="12" t="n"/>
      <c r="T253" s="8" t="n"/>
    </row>
    <row r="254" ht="18" customHeight="1">
      <c r="A254" s="6" t="n"/>
      <c r="B254" s="7" t="n"/>
      <c r="C254" s="8" t="n"/>
      <c r="D254" s="9">
        <f>IF(OR(E254="",B254="完了"),"",IF(TODAY()&gt;E254,"超過",IF(TODAY()+3&gt;=E254,"間近","")))</f>
        <v/>
      </c>
      <c r="E254" s="10" t="n"/>
      <c r="F254" s="7" t="n"/>
      <c r="G254" s="7" t="n"/>
      <c r="H254" s="7" t="n"/>
      <c r="I254" s="10" t="n"/>
      <c r="J254" s="11">
        <f>IF(I254="","",IF(K254&lt;&gt;"",K254-I254,TODAY()-I254))</f>
        <v/>
      </c>
      <c r="K254" s="10" t="n"/>
      <c r="L254" s="10" t="n"/>
      <c r="M254" s="8" t="n"/>
      <c r="N254" s="8" t="n"/>
      <c r="O254" s="8" t="n"/>
      <c r="P254" s="8" t="n"/>
      <c r="Q254" s="8" t="n"/>
      <c r="R254" s="7" t="n"/>
      <c r="S254" s="12" t="n"/>
      <c r="T254" s="8" t="n"/>
    </row>
    <row r="255" ht="18" customHeight="1">
      <c r="A255" s="6" t="n"/>
      <c r="B255" s="7" t="n"/>
      <c r="C255" s="8" t="n"/>
      <c r="D255" s="9">
        <f>IF(OR(E255="",B255="完了"),"",IF(TODAY()&gt;E255,"超過",IF(TODAY()+3&gt;=E255,"間近","")))</f>
        <v/>
      </c>
      <c r="E255" s="10" t="n"/>
      <c r="F255" s="7" t="n"/>
      <c r="G255" s="7" t="n"/>
      <c r="H255" s="7" t="n"/>
      <c r="I255" s="10" t="n"/>
      <c r="J255" s="11">
        <f>IF(I255="","",IF(K255&lt;&gt;"",K255-I255,TODAY()-I255))</f>
        <v/>
      </c>
      <c r="K255" s="10" t="n"/>
      <c r="L255" s="10" t="n"/>
      <c r="M255" s="8" t="n"/>
      <c r="N255" s="8" t="n"/>
      <c r="O255" s="8" t="n"/>
      <c r="P255" s="8" t="n"/>
      <c r="Q255" s="8" t="n"/>
      <c r="R255" s="7" t="n"/>
      <c r="S255" s="12" t="n"/>
      <c r="T255" s="8" t="n"/>
    </row>
    <row r="256" ht="18" customHeight="1">
      <c r="A256" s="6" t="n"/>
      <c r="B256" s="7" t="n"/>
      <c r="C256" s="8" t="n"/>
      <c r="D256" s="9">
        <f>IF(OR(E256="",B256="完了"),"",IF(TODAY()&gt;E256,"超過",IF(TODAY()+3&gt;=E256,"間近","")))</f>
        <v/>
      </c>
      <c r="E256" s="10" t="n"/>
      <c r="F256" s="7" t="n"/>
      <c r="G256" s="7" t="n"/>
      <c r="H256" s="7" t="n"/>
      <c r="I256" s="10" t="n"/>
      <c r="J256" s="11">
        <f>IF(I256="","",IF(K256&lt;&gt;"",K256-I256,TODAY()-I256))</f>
        <v/>
      </c>
      <c r="K256" s="10" t="n"/>
      <c r="L256" s="10" t="n"/>
      <c r="M256" s="8" t="n"/>
      <c r="N256" s="8" t="n"/>
      <c r="O256" s="8" t="n"/>
      <c r="P256" s="8" t="n"/>
      <c r="Q256" s="8" t="n"/>
      <c r="R256" s="7" t="n"/>
      <c r="S256" s="12" t="n"/>
      <c r="T256" s="8" t="n"/>
    </row>
    <row r="257" ht="18" customHeight="1">
      <c r="A257" s="6" t="n"/>
      <c r="B257" s="7" t="n"/>
      <c r="C257" s="8" t="n"/>
      <c r="D257" s="9">
        <f>IF(OR(E257="",B257="完了"),"",IF(TODAY()&gt;E257,"超過",IF(TODAY()+3&gt;=E257,"間近","")))</f>
        <v/>
      </c>
      <c r="E257" s="10" t="n"/>
      <c r="F257" s="7" t="n"/>
      <c r="G257" s="7" t="n"/>
      <c r="H257" s="7" t="n"/>
      <c r="I257" s="10" t="n"/>
      <c r="J257" s="11">
        <f>IF(I257="","",IF(K257&lt;&gt;"",K257-I257,TODAY()-I257))</f>
        <v/>
      </c>
      <c r="K257" s="10" t="n"/>
      <c r="L257" s="10" t="n"/>
      <c r="M257" s="8" t="n"/>
      <c r="N257" s="8" t="n"/>
      <c r="O257" s="8" t="n"/>
      <c r="P257" s="8" t="n"/>
      <c r="Q257" s="8" t="n"/>
      <c r="R257" s="7" t="n"/>
      <c r="S257" s="12" t="n"/>
      <c r="T257" s="8" t="n"/>
    </row>
    <row r="258" ht="18" customHeight="1">
      <c r="A258" s="6" t="n"/>
      <c r="B258" s="7" t="n"/>
      <c r="C258" s="8" t="n"/>
      <c r="D258" s="9">
        <f>IF(OR(E258="",B258="完了"),"",IF(TODAY()&gt;E258,"超過",IF(TODAY()+3&gt;=E258,"間近","")))</f>
        <v/>
      </c>
      <c r="E258" s="10" t="n"/>
      <c r="F258" s="7" t="n"/>
      <c r="G258" s="7" t="n"/>
      <c r="H258" s="7" t="n"/>
      <c r="I258" s="10" t="n"/>
      <c r="J258" s="11">
        <f>IF(I258="","",IF(K258&lt;&gt;"",K258-I258,TODAY()-I258))</f>
        <v/>
      </c>
      <c r="K258" s="10" t="n"/>
      <c r="L258" s="10" t="n"/>
      <c r="M258" s="8" t="n"/>
      <c r="N258" s="8" t="n"/>
      <c r="O258" s="8" t="n"/>
      <c r="P258" s="8" t="n"/>
      <c r="Q258" s="8" t="n"/>
      <c r="R258" s="7" t="n"/>
      <c r="S258" s="12" t="n"/>
      <c r="T258" s="8" t="n"/>
    </row>
    <row r="259" ht="18" customHeight="1">
      <c r="A259" s="6" t="n"/>
      <c r="B259" s="7" t="n"/>
      <c r="C259" s="8" t="n"/>
      <c r="D259" s="9">
        <f>IF(OR(E259="",B259="完了"),"",IF(TODAY()&gt;E259,"超過",IF(TODAY()+3&gt;=E259,"間近","")))</f>
        <v/>
      </c>
      <c r="E259" s="10" t="n"/>
      <c r="F259" s="7" t="n"/>
      <c r="G259" s="7" t="n"/>
      <c r="H259" s="7" t="n"/>
      <c r="I259" s="10" t="n"/>
      <c r="J259" s="11">
        <f>IF(I259="","",IF(K259&lt;&gt;"",K259-I259,TODAY()-I259))</f>
        <v/>
      </c>
      <c r="K259" s="10" t="n"/>
      <c r="L259" s="10" t="n"/>
      <c r="M259" s="8" t="n"/>
      <c r="N259" s="8" t="n"/>
      <c r="O259" s="8" t="n"/>
      <c r="P259" s="8" t="n"/>
      <c r="Q259" s="8" t="n"/>
      <c r="R259" s="7" t="n"/>
      <c r="S259" s="12" t="n"/>
      <c r="T259" s="8" t="n"/>
    </row>
    <row r="260" ht="18" customHeight="1">
      <c r="A260" s="6" t="n"/>
      <c r="B260" s="7" t="n"/>
      <c r="C260" s="8" t="n"/>
      <c r="D260" s="9">
        <f>IF(OR(E260="",B260="完了"),"",IF(TODAY()&gt;E260,"超過",IF(TODAY()+3&gt;=E260,"間近","")))</f>
        <v/>
      </c>
      <c r="E260" s="10" t="n"/>
      <c r="F260" s="7" t="n"/>
      <c r="G260" s="7" t="n"/>
      <c r="H260" s="7" t="n"/>
      <c r="I260" s="10" t="n"/>
      <c r="J260" s="11">
        <f>IF(I260="","",IF(K260&lt;&gt;"",K260-I260,TODAY()-I260))</f>
        <v/>
      </c>
      <c r="K260" s="10" t="n"/>
      <c r="L260" s="10" t="n"/>
      <c r="M260" s="8" t="n"/>
      <c r="N260" s="8" t="n"/>
      <c r="O260" s="8" t="n"/>
      <c r="P260" s="8" t="n"/>
      <c r="Q260" s="8" t="n"/>
      <c r="R260" s="7" t="n"/>
      <c r="S260" s="12" t="n"/>
      <c r="T260" s="8" t="n"/>
    </row>
    <row r="261" ht="18" customHeight="1">
      <c r="A261" s="6" t="n"/>
      <c r="B261" s="7" t="n"/>
      <c r="C261" s="8" t="n"/>
      <c r="D261" s="9">
        <f>IF(OR(E261="",B261="完了"),"",IF(TODAY()&gt;E261,"超過",IF(TODAY()+3&gt;=E261,"間近","")))</f>
        <v/>
      </c>
      <c r="E261" s="10" t="n"/>
      <c r="F261" s="7" t="n"/>
      <c r="G261" s="7" t="n"/>
      <c r="H261" s="7" t="n"/>
      <c r="I261" s="10" t="n"/>
      <c r="J261" s="11">
        <f>IF(I261="","",IF(K261&lt;&gt;"",K261-I261,TODAY()-I261))</f>
        <v/>
      </c>
      <c r="K261" s="10" t="n"/>
      <c r="L261" s="10" t="n"/>
      <c r="M261" s="8" t="n"/>
      <c r="N261" s="8" t="n"/>
      <c r="O261" s="8" t="n"/>
      <c r="P261" s="8" t="n"/>
      <c r="Q261" s="8" t="n"/>
      <c r="R261" s="7" t="n"/>
      <c r="S261" s="12" t="n"/>
      <c r="T261" s="8" t="n"/>
    </row>
    <row r="262" ht="18" customHeight="1">
      <c r="A262" s="6" t="n"/>
      <c r="B262" s="7" t="n"/>
      <c r="C262" s="8" t="n"/>
      <c r="D262" s="9">
        <f>IF(OR(E262="",B262="完了"),"",IF(TODAY()&gt;E262,"超過",IF(TODAY()+3&gt;=E262,"間近","")))</f>
        <v/>
      </c>
      <c r="E262" s="10" t="n"/>
      <c r="F262" s="7" t="n"/>
      <c r="G262" s="7" t="n"/>
      <c r="H262" s="7" t="n"/>
      <c r="I262" s="10" t="n"/>
      <c r="J262" s="11">
        <f>IF(I262="","",IF(K262&lt;&gt;"",K262-I262,TODAY()-I262))</f>
        <v/>
      </c>
      <c r="K262" s="10" t="n"/>
      <c r="L262" s="10" t="n"/>
      <c r="M262" s="8" t="n"/>
      <c r="N262" s="8" t="n"/>
      <c r="O262" s="8" t="n"/>
      <c r="P262" s="8" t="n"/>
      <c r="Q262" s="8" t="n"/>
      <c r="R262" s="7" t="n"/>
      <c r="S262" s="12" t="n"/>
      <c r="T262" s="8" t="n"/>
    </row>
    <row r="263" ht="18" customHeight="1">
      <c r="A263" s="6" t="n"/>
      <c r="B263" s="7" t="n"/>
      <c r="C263" s="8" t="n"/>
      <c r="D263" s="9">
        <f>IF(OR(E263="",B263="完了"),"",IF(TODAY()&gt;E263,"超過",IF(TODAY()+3&gt;=E263,"間近","")))</f>
        <v/>
      </c>
      <c r="E263" s="10" t="n"/>
      <c r="F263" s="7" t="n"/>
      <c r="G263" s="7" t="n"/>
      <c r="H263" s="7" t="n"/>
      <c r="I263" s="10" t="n"/>
      <c r="J263" s="11">
        <f>IF(I263="","",IF(K263&lt;&gt;"",K263-I263,TODAY()-I263))</f>
        <v/>
      </c>
      <c r="K263" s="10" t="n"/>
      <c r="L263" s="10" t="n"/>
      <c r="M263" s="8" t="n"/>
      <c r="N263" s="8" t="n"/>
      <c r="O263" s="8" t="n"/>
      <c r="P263" s="8" t="n"/>
      <c r="Q263" s="8" t="n"/>
      <c r="R263" s="7" t="n"/>
      <c r="S263" s="12" t="n"/>
      <c r="T263" s="8" t="n"/>
    </row>
    <row r="264" ht="18" customHeight="1">
      <c r="A264" s="6" t="n"/>
      <c r="B264" s="7" t="n"/>
      <c r="C264" s="8" t="n"/>
      <c r="D264" s="9">
        <f>IF(OR(E264="",B264="完了"),"",IF(TODAY()&gt;E264,"超過",IF(TODAY()+3&gt;=E264,"間近","")))</f>
        <v/>
      </c>
      <c r="E264" s="10" t="n"/>
      <c r="F264" s="7" t="n"/>
      <c r="G264" s="7" t="n"/>
      <c r="H264" s="7" t="n"/>
      <c r="I264" s="10" t="n"/>
      <c r="J264" s="11">
        <f>IF(I264="","",IF(K264&lt;&gt;"",K264-I264,TODAY()-I264))</f>
        <v/>
      </c>
      <c r="K264" s="10" t="n"/>
      <c r="L264" s="10" t="n"/>
      <c r="M264" s="8" t="n"/>
      <c r="N264" s="8" t="n"/>
      <c r="O264" s="8" t="n"/>
      <c r="P264" s="8" t="n"/>
      <c r="Q264" s="8" t="n"/>
      <c r="R264" s="7" t="n"/>
      <c r="S264" s="12" t="n"/>
      <c r="T264" s="8" t="n"/>
    </row>
    <row r="265" ht="18" customHeight="1">
      <c r="A265" s="6" t="n"/>
      <c r="B265" s="7" t="n"/>
      <c r="C265" s="8" t="n"/>
      <c r="D265" s="9">
        <f>IF(OR(E265="",B265="完了"),"",IF(TODAY()&gt;E265,"超過",IF(TODAY()+3&gt;=E265,"間近","")))</f>
        <v/>
      </c>
      <c r="E265" s="10" t="n"/>
      <c r="F265" s="7" t="n"/>
      <c r="G265" s="7" t="n"/>
      <c r="H265" s="7" t="n"/>
      <c r="I265" s="10" t="n"/>
      <c r="J265" s="11">
        <f>IF(I265="","",IF(K265&lt;&gt;"",K265-I265,TODAY()-I265))</f>
        <v/>
      </c>
      <c r="K265" s="10" t="n"/>
      <c r="L265" s="10" t="n"/>
      <c r="M265" s="8" t="n"/>
      <c r="N265" s="8" t="n"/>
      <c r="O265" s="8" t="n"/>
      <c r="P265" s="8" t="n"/>
      <c r="Q265" s="8" t="n"/>
      <c r="R265" s="7" t="n"/>
      <c r="S265" s="12" t="n"/>
      <c r="T265" s="8" t="n"/>
    </row>
    <row r="266" ht="18" customHeight="1">
      <c r="A266" s="6" t="n"/>
      <c r="B266" s="7" t="n"/>
      <c r="C266" s="8" t="n"/>
      <c r="D266" s="9">
        <f>IF(OR(E266="",B266="完了"),"",IF(TODAY()&gt;E266,"超過",IF(TODAY()+3&gt;=E266,"間近","")))</f>
        <v/>
      </c>
      <c r="E266" s="10" t="n"/>
      <c r="F266" s="7" t="n"/>
      <c r="G266" s="7" t="n"/>
      <c r="H266" s="7" t="n"/>
      <c r="I266" s="10" t="n"/>
      <c r="J266" s="11">
        <f>IF(I266="","",IF(K266&lt;&gt;"",K266-I266,TODAY()-I266))</f>
        <v/>
      </c>
      <c r="K266" s="10" t="n"/>
      <c r="L266" s="10" t="n"/>
      <c r="M266" s="8" t="n"/>
      <c r="N266" s="8" t="n"/>
      <c r="O266" s="8" t="n"/>
      <c r="P266" s="8" t="n"/>
      <c r="Q266" s="8" t="n"/>
      <c r="R266" s="7" t="n"/>
      <c r="S266" s="12" t="n"/>
      <c r="T266" s="8" t="n"/>
    </row>
    <row r="267" ht="18" customHeight="1">
      <c r="A267" s="6" t="n"/>
      <c r="B267" s="7" t="n"/>
      <c r="C267" s="8" t="n"/>
      <c r="D267" s="9">
        <f>IF(OR(E267="",B267="完了"),"",IF(TODAY()&gt;E267,"超過",IF(TODAY()+3&gt;=E267,"間近","")))</f>
        <v/>
      </c>
      <c r="E267" s="10" t="n"/>
      <c r="F267" s="7" t="n"/>
      <c r="G267" s="7" t="n"/>
      <c r="H267" s="7" t="n"/>
      <c r="I267" s="10" t="n"/>
      <c r="J267" s="11">
        <f>IF(I267="","",IF(K267&lt;&gt;"",K267-I267,TODAY()-I267))</f>
        <v/>
      </c>
      <c r="K267" s="10" t="n"/>
      <c r="L267" s="10" t="n"/>
      <c r="M267" s="8" t="n"/>
      <c r="N267" s="8" t="n"/>
      <c r="O267" s="8" t="n"/>
      <c r="P267" s="8" t="n"/>
      <c r="Q267" s="8" t="n"/>
      <c r="R267" s="7" t="n"/>
      <c r="S267" s="12" t="n"/>
      <c r="T267" s="8" t="n"/>
    </row>
    <row r="268" ht="18" customHeight="1">
      <c r="A268" s="6" t="n"/>
      <c r="B268" s="7" t="n"/>
      <c r="C268" s="8" t="n"/>
      <c r="D268" s="9">
        <f>IF(OR(E268="",B268="完了"),"",IF(TODAY()&gt;E268,"超過",IF(TODAY()+3&gt;=E268,"間近","")))</f>
        <v/>
      </c>
      <c r="E268" s="10" t="n"/>
      <c r="F268" s="7" t="n"/>
      <c r="G268" s="7" t="n"/>
      <c r="H268" s="7" t="n"/>
      <c r="I268" s="10" t="n"/>
      <c r="J268" s="11">
        <f>IF(I268="","",IF(K268&lt;&gt;"",K268-I268,TODAY()-I268))</f>
        <v/>
      </c>
      <c r="K268" s="10" t="n"/>
      <c r="L268" s="10" t="n"/>
      <c r="M268" s="8" t="n"/>
      <c r="N268" s="8" t="n"/>
      <c r="O268" s="8" t="n"/>
      <c r="P268" s="8" t="n"/>
      <c r="Q268" s="8" t="n"/>
      <c r="R268" s="7" t="n"/>
      <c r="S268" s="12" t="n"/>
      <c r="T268" s="8" t="n"/>
    </row>
    <row r="269" ht="18" customHeight="1">
      <c r="A269" s="6" t="n"/>
      <c r="B269" s="7" t="n"/>
      <c r="C269" s="8" t="n"/>
      <c r="D269" s="9">
        <f>IF(OR(E269="",B269="完了"),"",IF(TODAY()&gt;E269,"超過",IF(TODAY()+3&gt;=E269,"間近","")))</f>
        <v/>
      </c>
      <c r="E269" s="10" t="n"/>
      <c r="F269" s="7" t="n"/>
      <c r="G269" s="7" t="n"/>
      <c r="H269" s="7" t="n"/>
      <c r="I269" s="10" t="n"/>
      <c r="J269" s="11">
        <f>IF(I269="","",IF(K269&lt;&gt;"",K269-I269,TODAY()-I269))</f>
        <v/>
      </c>
      <c r="K269" s="10" t="n"/>
      <c r="L269" s="10" t="n"/>
      <c r="M269" s="8" t="n"/>
      <c r="N269" s="8" t="n"/>
      <c r="O269" s="8" t="n"/>
      <c r="P269" s="8" t="n"/>
      <c r="Q269" s="8" t="n"/>
      <c r="R269" s="7" t="n"/>
      <c r="S269" s="12" t="n"/>
      <c r="T269" s="8" t="n"/>
    </row>
    <row r="270" ht="18" customHeight="1">
      <c r="A270" s="6" t="n"/>
      <c r="B270" s="7" t="n"/>
      <c r="C270" s="8" t="n"/>
      <c r="D270" s="9">
        <f>IF(OR(E270="",B270="完了"),"",IF(TODAY()&gt;E270,"超過",IF(TODAY()+3&gt;=E270,"間近","")))</f>
        <v/>
      </c>
      <c r="E270" s="10" t="n"/>
      <c r="F270" s="7" t="n"/>
      <c r="G270" s="7" t="n"/>
      <c r="H270" s="7" t="n"/>
      <c r="I270" s="10" t="n"/>
      <c r="J270" s="11">
        <f>IF(I270="","",IF(K270&lt;&gt;"",K270-I270,TODAY()-I270))</f>
        <v/>
      </c>
      <c r="K270" s="10" t="n"/>
      <c r="L270" s="10" t="n"/>
      <c r="M270" s="8" t="n"/>
      <c r="N270" s="8" t="n"/>
      <c r="O270" s="8" t="n"/>
      <c r="P270" s="8" t="n"/>
      <c r="Q270" s="8" t="n"/>
      <c r="R270" s="7" t="n"/>
      <c r="S270" s="12" t="n"/>
      <c r="T270" s="8" t="n"/>
    </row>
    <row r="271" ht="18" customHeight="1">
      <c r="A271" s="6" t="n"/>
      <c r="B271" s="7" t="n"/>
      <c r="C271" s="8" t="n"/>
      <c r="D271" s="9">
        <f>IF(OR(E271="",B271="完了"),"",IF(TODAY()&gt;E271,"超過",IF(TODAY()+3&gt;=E271,"間近","")))</f>
        <v/>
      </c>
      <c r="E271" s="10" t="n"/>
      <c r="F271" s="7" t="n"/>
      <c r="G271" s="7" t="n"/>
      <c r="H271" s="7" t="n"/>
      <c r="I271" s="10" t="n"/>
      <c r="J271" s="11">
        <f>IF(I271="","",IF(K271&lt;&gt;"",K271-I271,TODAY()-I271))</f>
        <v/>
      </c>
      <c r="K271" s="10" t="n"/>
      <c r="L271" s="10" t="n"/>
      <c r="M271" s="8" t="n"/>
      <c r="N271" s="8" t="n"/>
      <c r="O271" s="8" t="n"/>
      <c r="P271" s="8" t="n"/>
      <c r="Q271" s="8" t="n"/>
      <c r="R271" s="7" t="n"/>
      <c r="S271" s="12" t="n"/>
      <c r="T271" s="8" t="n"/>
    </row>
    <row r="272" ht="18" customHeight="1">
      <c r="A272" s="6" t="n"/>
      <c r="B272" s="7" t="n"/>
      <c r="C272" s="8" t="n"/>
      <c r="D272" s="9">
        <f>IF(OR(E272="",B272="完了"),"",IF(TODAY()&gt;E272,"超過",IF(TODAY()+3&gt;=E272,"間近","")))</f>
        <v/>
      </c>
      <c r="E272" s="10" t="n"/>
      <c r="F272" s="7" t="n"/>
      <c r="G272" s="7" t="n"/>
      <c r="H272" s="7" t="n"/>
      <c r="I272" s="10" t="n"/>
      <c r="J272" s="11">
        <f>IF(I272="","",IF(K272&lt;&gt;"",K272-I272,TODAY()-I272))</f>
        <v/>
      </c>
      <c r="K272" s="10" t="n"/>
      <c r="L272" s="10" t="n"/>
      <c r="M272" s="8" t="n"/>
      <c r="N272" s="8" t="n"/>
      <c r="O272" s="8" t="n"/>
      <c r="P272" s="8" t="n"/>
      <c r="Q272" s="8" t="n"/>
      <c r="R272" s="7" t="n"/>
      <c r="S272" s="12" t="n"/>
      <c r="T272" s="8" t="n"/>
    </row>
    <row r="273" ht="18" customHeight="1">
      <c r="A273" s="6" t="n"/>
      <c r="B273" s="7" t="n"/>
      <c r="C273" s="8" t="n"/>
      <c r="D273" s="9">
        <f>IF(OR(E273="",B273="完了"),"",IF(TODAY()&gt;E273,"超過",IF(TODAY()+3&gt;=E273,"間近","")))</f>
        <v/>
      </c>
      <c r="E273" s="10" t="n"/>
      <c r="F273" s="7" t="n"/>
      <c r="G273" s="7" t="n"/>
      <c r="H273" s="7" t="n"/>
      <c r="I273" s="10" t="n"/>
      <c r="J273" s="11">
        <f>IF(I273="","",IF(K273&lt;&gt;"",K273-I273,TODAY()-I273))</f>
        <v/>
      </c>
      <c r="K273" s="10" t="n"/>
      <c r="L273" s="10" t="n"/>
      <c r="M273" s="8" t="n"/>
      <c r="N273" s="8" t="n"/>
      <c r="O273" s="8" t="n"/>
      <c r="P273" s="8" t="n"/>
      <c r="Q273" s="8" t="n"/>
      <c r="R273" s="7" t="n"/>
      <c r="S273" s="12" t="n"/>
      <c r="T273" s="8" t="n"/>
    </row>
    <row r="274" ht="18" customHeight="1">
      <c r="A274" s="6" t="n"/>
      <c r="B274" s="7" t="n"/>
      <c r="C274" s="8" t="n"/>
      <c r="D274" s="9">
        <f>IF(OR(E274="",B274="完了"),"",IF(TODAY()&gt;E274,"超過",IF(TODAY()+3&gt;=E274,"間近","")))</f>
        <v/>
      </c>
      <c r="E274" s="10" t="n"/>
      <c r="F274" s="7" t="n"/>
      <c r="G274" s="7" t="n"/>
      <c r="H274" s="7" t="n"/>
      <c r="I274" s="10" t="n"/>
      <c r="J274" s="11">
        <f>IF(I274="","",IF(K274&lt;&gt;"",K274-I274,TODAY()-I274))</f>
        <v/>
      </c>
      <c r="K274" s="10" t="n"/>
      <c r="L274" s="10" t="n"/>
      <c r="M274" s="8" t="n"/>
      <c r="N274" s="8" t="n"/>
      <c r="O274" s="8" t="n"/>
      <c r="P274" s="8" t="n"/>
      <c r="Q274" s="8" t="n"/>
      <c r="R274" s="7" t="n"/>
      <c r="S274" s="12" t="n"/>
      <c r="T274" s="8" t="n"/>
    </row>
    <row r="275" ht="18" customHeight="1">
      <c r="A275" s="6" t="n"/>
      <c r="B275" s="7" t="n"/>
      <c r="C275" s="8" t="n"/>
      <c r="D275" s="9">
        <f>IF(OR(E275="",B275="完了"),"",IF(TODAY()&gt;E275,"超過",IF(TODAY()+3&gt;=E275,"間近","")))</f>
        <v/>
      </c>
      <c r="E275" s="10" t="n"/>
      <c r="F275" s="7" t="n"/>
      <c r="G275" s="7" t="n"/>
      <c r="H275" s="7" t="n"/>
      <c r="I275" s="10" t="n"/>
      <c r="J275" s="11">
        <f>IF(I275="","",IF(K275&lt;&gt;"",K275-I275,TODAY()-I275))</f>
        <v/>
      </c>
      <c r="K275" s="10" t="n"/>
      <c r="L275" s="10" t="n"/>
      <c r="M275" s="8" t="n"/>
      <c r="N275" s="8" t="n"/>
      <c r="O275" s="8" t="n"/>
      <c r="P275" s="8" t="n"/>
      <c r="Q275" s="8" t="n"/>
      <c r="R275" s="7" t="n"/>
      <c r="S275" s="12" t="n"/>
      <c r="T275" s="8" t="n"/>
    </row>
    <row r="276" ht="18" customHeight="1">
      <c r="A276" s="6" t="n"/>
      <c r="B276" s="7" t="n"/>
      <c r="C276" s="8" t="n"/>
      <c r="D276" s="9">
        <f>IF(OR(E276="",B276="完了"),"",IF(TODAY()&gt;E276,"超過",IF(TODAY()+3&gt;=E276,"間近","")))</f>
        <v/>
      </c>
      <c r="E276" s="10" t="n"/>
      <c r="F276" s="7" t="n"/>
      <c r="G276" s="7" t="n"/>
      <c r="H276" s="7" t="n"/>
      <c r="I276" s="10" t="n"/>
      <c r="J276" s="11">
        <f>IF(I276="","",IF(K276&lt;&gt;"",K276-I276,TODAY()-I276))</f>
        <v/>
      </c>
      <c r="K276" s="10" t="n"/>
      <c r="L276" s="10" t="n"/>
      <c r="M276" s="8" t="n"/>
      <c r="N276" s="8" t="n"/>
      <c r="O276" s="8" t="n"/>
      <c r="P276" s="8" t="n"/>
      <c r="Q276" s="8" t="n"/>
      <c r="R276" s="7" t="n"/>
      <c r="S276" s="12" t="n"/>
      <c r="T276" s="8" t="n"/>
    </row>
    <row r="277" ht="18" customHeight="1">
      <c r="A277" s="6" t="n"/>
      <c r="B277" s="7" t="n"/>
      <c r="C277" s="8" t="n"/>
      <c r="D277" s="9">
        <f>IF(OR(E277="",B277="完了"),"",IF(TODAY()&gt;E277,"超過",IF(TODAY()+3&gt;=E277,"間近","")))</f>
        <v/>
      </c>
      <c r="E277" s="10" t="n"/>
      <c r="F277" s="7" t="n"/>
      <c r="G277" s="7" t="n"/>
      <c r="H277" s="7" t="n"/>
      <c r="I277" s="10" t="n"/>
      <c r="J277" s="11">
        <f>IF(I277="","",IF(K277&lt;&gt;"",K277-I277,TODAY()-I277))</f>
        <v/>
      </c>
      <c r="K277" s="10" t="n"/>
      <c r="L277" s="10" t="n"/>
      <c r="M277" s="8" t="n"/>
      <c r="N277" s="8" t="n"/>
      <c r="O277" s="8" t="n"/>
      <c r="P277" s="8" t="n"/>
      <c r="Q277" s="8" t="n"/>
      <c r="R277" s="7" t="n"/>
      <c r="S277" s="12" t="n"/>
      <c r="T277" s="8" t="n"/>
    </row>
    <row r="278" ht="18" customHeight="1">
      <c r="A278" s="6" t="n"/>
      <c r="B278" s="7" t="n"/>
      <c r="C278" s="8" t="n"/>
      <c r="D278" s="9">
        <f>IF(OR(E278="",B278="完了"),"",IF(TODAY()&gt;E278,"超過",IF(TODAY()+3&gt;=E278,"間近","")))</f>
        <v/>
      </c>
      <c r="E278" s="10" t="n"/>
      <c r="F278" s="7" t="n"/>
      <c r="G278" s="7" t="n"/>
      <c r="H278" s="7" t="n"/>
      <c r="I278" s="10" t="n"/>
      <c r="J278" s="11">
        <f>IF(I278="","",IF(K278&lt;&gt;"",K278-I278,TODAY()-I278))</f>
        <v/>
      </c>
      <c r="K278" s="10" t="n"/>
      <c r="L278" s="10" t="n"/>
      <c r="M278" s="8" t="n"/>
      <c r="N278" s="8" t="n"/>
      <c r="O278" s="8" t="n"/>
      <c r="P278" s="8" t="n"/>
      <c r="Q278" s="8" t="n"/>
      <c r="R278" s="7" t="n"/>
      <c r="S278" s="12" t="n"/>
      <c r="T278" s="8" t="n"/>
    </row>
    <row r="279" ht="18" customHeight="1">
      <c r="A279" s="6" t="n"/>
      <c r="B279" s="7" t="n"/>
      <c r="C279" s="8" t="n"/>
      <c r="D279" s="9">
        <f>IF(OR(E279="",B279="完了"),"",IF(TODAY()&gt;E279,"超過",IF(TODAY()+3&gt;=E279,"間近","")))</f>
        <v/>
      </c>
      <c r="E279" s="10" t="n"/>
      <c r="F279" s="7" t="n"/>
      <c r="G279" s="7" t="n"/>
      <c r="H279" s="7" t="n"/>
      <c r="I279" s="10" t="n"/>
      <c r="J279" s="11">
        <f>IF(I279="","",IF(K279&lt;&gt;"",K279-I279,TODAY()-I279))</f>
        <v/>
      </c>
      <c r="K279" s="10" t="n"/>
      <c r="L279" s="10" t="n"/>
      <c r="M279" s="8" t="n"/>
      <c r="N279" s="8" t="n"/>
      <c r="O279" s="8" t="n"/>
      <c r="P279" s="8" t="n"/>
      <c r="Q279" s="8" t="n"/>
      <c r="R279" s="7" t="n"/>
      <c r="S279" s="12" t="n"/>
      <c r="T279" s="8" t="n"/>
    </row>
    <row r="280" ht="18" customHeight="1">
      <c r="A280" s="6" t="n"/>
      <c r="B280" s="7" t="n"/>
      <c r="C280" s="8" t="n"/>
      <c r="D280" s="9">
        <f>IF(OR(E280="",B280="完了"),"",IF(TODAY()&gt;E280,"超過",IF(TODAY()+3&gt;=E280,"間近","")))</f>
        <v/>
      </c>
      <c r="E280" s="10" t="n"/>
      <c r="F280" s="7" t="n"/>
      <c r="G280" s="7" t="n"/>
      <c r="H280" s="7" t="n"/>
      <c r="I280" s="10" t="n"/>
      <c r="J280" s="11">
        <f>IF(I280="","",IF(K280&lt;&gt;"",K280-I280,TODAY()-I280))</f>
        <v/>
      </c>
      <c r="K280" s="10" t="n"/>
      <c r="L280" s="10" t="n"/>
      <c r="M280" s="8" t="n"/>
      <c r="N280" s="8" t="n"/>
      <c r="O280" s="8" t="n"/>
      <c r="P280" s="8" t="n"/>
      <c r="Q280" s="8" t="n"/>
      <c r="R280" s="7" t="n"/>
      <c r="S280" s="12" t="n"/>
      <c r="T280" s="8" t="n"/>
    </row>
    <row r="281" ht="18" customHeight="1">
      <c r="A281" s="6" t="n"/>
      <c r="B281" s="7" t="n"/>
      <c r="C281" s="8" t="n"/>
      <c r="D281" s="9">
        <f>IF(OR(E281="",B281="完了"),"",IF(TODAY()&gt;E281,"超過",IF(TODAY()+3&gt;=E281,"間近","")))</f>
        <v/>
      </c>
      <c r="E281" s="10" t="n"/>
      <c r="F281" s="7" t="n"/>
      <c r="G281" s="7" t="n"/>
      <c r="H281" s="7" t="n"/>
      <c r="I281" s="10" t="n"/>
      <c r="J281" s="11">
        <f>IF(I281="","",IF(K281&lt;&gt;"",K281-I281,TODAY()-I281))</f>
        <v/>
      </c>
      <c r="K281" s="10" t="n"/>
      <c r="L281" s="10" t="n"/>
      <c r="M281" s="8" t="n"/>
      <c r="N281" s="8" t="n"/>
      <c r="O281" s="8" t="n"/>
      <c r="P281" s="8" t="n"/>
      <c r="Q281" s="8" t="n"/>
      <c r="R281" s="7" t="n"/>
      <c r="S281" s="12" t="n"/>
      <c r="T281" s="8" t="n"/>
    </row>
    <row r="282" ht="18" customHeight="1">
      <c r="A282" s="6" t="n"/>
      <c r="B282" s="7" t="n"/>
      <c r="C282" s="8" t="n"/>
      <c r="D282" s="9">
        <f>IF(OR(E282="",B282="完了"),"",IF(TODAY()&gt;E282,"超過",IF(TODAY()+3&gt;=E282,"間近","")))</f>
        <v/>
      </c>
      <c r="E282" s="10" t="n"/>
      <c r="F282" s="7" t="n"/>
      <c r="G282" s="7" t="n"/>
      <c r="H282" s="7" t="n"/>
      <c r="I282" s="10" t="n"/>
      <c r="J282" s="11">
        <f>IF(I282="","",IF(K282&lt;&gt;"",K282-I282,TODAY()-I282))</f>
        <v/>
      </c>
      <c r="K282" s="10" t="n"/>
      <c r="L282" s="10" t="n"/>
      <c r="M282" s="8" t="n"/>
      <c r="N282" s="8" t="n"/>
      <c r="O282" s="8" t="n"/>
      <c r="P282" s="8" t="n"/>
      <c r="Q282" s="8" t="n"/>
      <c r="R282" s="7" t="n"/>
      <c r="S282" s="12" t="n"/>
      <c r="T282" s="8" t="n"/>
    </row>
    <row r="283" ht="18" customHeight="1">
      <c r="A283" s="6" t="n"/>
      <c r="B283" s="7" t="n"/>
      <c r="C283" s="8" t="n"/>
      <c r="D283" s="9">
        <f>IF(OR(E283="",B283="完了"),"",IF(TODAY()&gt;E283,"超過",IF(TODAY()+3&gt;=E283,"間近","")))</f>
        <v/>
      </c>
      <c r="E283" s="10" t="n"/>
      <c r="F283" s="7" t="n"/>
      <c r="G283" s="7" t="n"/>
      <c r="H283" s="7" t="n"/>
      <c r="I283" s="10" t="n"/>
      <c r="J283" s="11">
        <f>IF(I283="","",IF(K283&lt;&gt;"",K283-I283,TODAY()-I283))</f>
        <v/>
      </c>
      <c r="K283" s="10" t="n"/>
      <c r="L283" s="10" t="n"/>
      <c r="M283" s="8" t="n"/>
      <c r="N283" s="8" t="n"/>
      <c r="O283" s="8" t="n"/>
      <c r="P283" s="8" t="n"/>
      <c r="Q283" s="8" t="n"/>
      <c r="R283" s="7" t="n"/>
      <c r="S283" s="12" t="n"/>
      <c r="T283" s="8" t="n"/>
    </row>
    <row r="284" ht="18" customHeight="1">
      <c r="A284" s="6" t="n"/>
      <c r="B284" s="7" t="n"/>
      <c r="C284" s="8" t="n"/>
      <c r="D284" s="9">
        <f>IF(OR(E284="",B284="完了"),"",IF(TODAY()&gt;E284,"超過",IF(TODAY()+3&gt;=E284,"間近","")))</f>
        <v/>
      </c>
      <c r="E284" s="10" t="n"/>
      <c r="F284" s="7" t="n"/>
      <c r="G284" s="7" t="n"/>
      <c r="H284" s="7" t="n"/>
      <c r="I284" s="10" t="n"/>
      <c r="J284" s="11">
        <f>IF(I284="","",IF(K284&lt;&gt;"",K284-I284,TODAY()-I284))</f>
        <v/>
      </c>
      <c r="K284" s="10" t="n"/>
      <c r="L284" s="10" t="n"/>
      <c r="M284" s="8" t="n"/>
      <c r="N284" s="8" t="n"/>
      <c r="O284" s="8" t="n"/>
      <c r="P284" s="8" t="n"/>
      <c r="Q284" s="8" t="n"/>
      <c r="R284" s="7" t="n"/>
      <c r="S284" s="12" t="n"/>
      <c r="T284" s="8" t="n"/>
    </row>
    <row r="285" ht="18" customHeight="1">
      <c r="A285" s="6" t="n"/>
      <c r="B285" s="7" t="n"/>
      <c r="C285" s="8" t="n"/>
      <c r="D285" s="9">
        <f>IF(OR(E285="",B285="完了"),"",IF(TODAY()&gt;E285,"超過",IF(TODAY()+3&gt;=E285,"間近","")))</f>
        <v/>
      </c>
      <c r="E285" s="10" t="n"/>
      <c r="F285" s="7" t="n"/>
      <c r="G285" s="7" t="n"/>
      <c r="H285" s="7" t="n"/>
      <c r="I285" s="10" t="n"/>
      <c r="J285" s="11">
        <f>IF(I285="","",IF(K285&lt;&gt;"",K285-I285,TODAY()-I285))</f>
        <v/>
      </c>
      <c r="K285" s="10" t="n"/>
      <c r="L285" s="10" t="n"/>
      <c r="M285" s="8" t="n"/>
      <c r="N285" s="8" t="n"/>
      <c r="O285" s="8" t="n"/>
      <c r="P285" s="8" t="n"/>
      <c r="Q285" s="8" t="n"/>
      <c r="R285" s="7" t="n"/>
      <c r="S285" s="12" t="n"/>
      <c r="T285" s="8" t="n"/>
    </row>
    <row r="286" ht="18" customHeight="1">
      <c r="A286" s="6" t="n"/>
      <c r="B286" s="7" t="n"/>
      <c r="C286" s="8" t="n"/>
      <c r="D286" s="9">
        <f>IF(OR(E286="",B286="完了"),"",IF(TODAY()&gt;E286,"超過",IF(TODAY()+3&gt;=E286,"間近","")))</f>
        <v/>
      </c>
      <c r="E286" s="10" t="n"/>
      <c r="F286" s="7" t="n"/>
      <c r="G286" s="7" t="n"/>
      <c r="H286" s="7" t="n"/>
      <c r="I286" s="10" t="n"/>
      <c r="J286" s="11">
        <f>IF(I286="","",IF(K286&lt;&gt;"",K286-I286,TODAY()-I286))</f>
        <v/>
      </c>
      <c r="K286" s="10" t="n"/>
      <c r="L286" s="10" t="n"/>
      <c r="M286" s="8" t="n"/>
      <c r="N286" s="8" t="n"/>
      <c r="O286" s="8" t="n"/>
      <c r="P286" s="8" t="n"/>
      <c r="Q286" s="8" t="n"/>
      <c r="R286" s="7" t="n"/>
      <c r="S286" s="12" t="n"/>
      <c r="T286" s="8" t="n"/>
    </row>
    <row r="287" ht="18" customHeight="1">
      <c r="A287" s="6" t="n"/>
      <c r="B287" s="7" t="n"/>
      <c r="C287" s="8" t="n"/>
      <c r="D287" s="9">
        <f>IF(OR(E287="",B287="完了"),"",IF(TODAY()&gt;E287,"超過",IF(TODAY()+3&gt;=E287,"間近","")))</f>
        <v/>
      </c>
      <c r="E287" s="10" t="n"/>
      <c r="F287" s="7" t="n"/>
      <c r="G287" s="7" t="n"/>
      <c r="H287" s="7" t="n"/>
      <c r="I287" s="10" t="n"/>
      <c r="J287" s="11">
        <f>IF(I287="","",IF(K287&lt;&gt;"",K287-I287,TODAY()-I287))</f>
        <v/>
      </c>
      <c r="K287" s="10" t="n"/>
      <c r="L287" s="10" t="n"/>
      <c r="M287" s="8" t="n"/>
      <c r="N287" s="8" t="n"/>
      <c r="O287" s="8" t="n"/>
      <c r="P287" s="8" t="n"/>
      <c r="Q287" s="8" t="n"/>
      <c r="R287" s="7" t="n"/>
      <c r="S287" s="12" t="n"/>
      <c r="T287" s="8" t="n"/>
    </row>
    <row r="288" ht="18" customHeight="1">
      <c r="A288" s="6" t="n"/>
      <c r="B288" s="7" t="n"/>
      <c r="C288" s="8" t="n"/>
      <c r="D288" s="9">
        <f>IF(OR(E288="",B288="完了"),"",IF(TODAY()&gt;E288,"超過",IF(TODAY()+3&gt;=E288,"間近","")))</f>
        <v/>
      </c>
      <c r="E288" s="10" t="n"/>
      <c r="F288" s="7" t="n"/>
      <c r="G288" s="7" t="n"/>
      <c r="H288" s="7" t="n"/>
      <c r="I288" s="10" t="n"/>
      <c r="J288" s="11">
        <f>IF(I288="","",IF(K288&lt;&gt;"",K288-I288,TODAY()-I288))</f>
        <v/>
      </c>
      <c r="K288" s="10" t="n"/>
      <c r="L288" s="10" t="n"/>
      <c r="M288" s="8" t="n"/>
      <c r="N288" s="8" t="n"/>
      <c r="O288" s="8" t="n"/>
      <c r="P288" s="8" t="n"/>
      <c r="Q288" s="8" t="n"/>
      <c r="R288" s="7" t="n"/>
      <c r="S288" s="12" t="n"/>
      <c r="T288" s="8" t="n"/>
    </row>
    <row r="289" ht="18" customHeight="1">
      <c r="A289" s="6" t="n"/>
      <c r="B289" s="7" t="n"/>
      <c r="C289" s="8" t="n"/>
      <c r="D289" s="9">
        <f>IF(OR(E289="",B289="完了"),"",IF(TODAY()&gt;E289,"超過",IF(TODAY()+3&gt;=E289,"間近","")))</f>
        <v/>
      </c>
      <c r="E289" s="10" t="n"/>
      <c r="F289" s="7" t="n"/>
      <c r="G289" s="7" t="n"/>
      <c r="H289" s="7" t="n"/>
      <c r="I289" s="10" t="n"/>
      <c r="J289" s="11">
        <f>IF(I289="","",IF(K289&lt;&gt;"",K289-I289,TODAY()-I289))</f>
        <v/>
      </c>
      <c r="K289" s="10" t="n"/>
      <c r="L289" s="10" t="n"/>
      <c r="M289" s="8" t="n"/>
      <c r="N289" s="8" t="n"/>
      <c r="O289" s="8" t="n"/>
      <c r="P289" s="8" t="n"/>
      <c r="Q289" s="8" t="n"/>
      <c r="R289" s="7" t="n"/>
      <c r="S289" s="12" t="n"/>
      <c r="T289" s="8" t="n"/>
    </row>
    <row r="290" ht="18" customHeight="1">
      <c r="A290" s="6" t="n"/>
      <c r="B290" s="7" t="n"/>
      <c r="C290" s="8" t="n"/>
      <c r="D290" s="9">
        <f>IF(OR(E290="",B290="完了"),"",IF(TODAY()&gt;E290,"超過",IF(TODAY()+3&gt;=E290,"間近","")))</f>
        <v/>
      </c>
      <c r="E290" s="10" t="n"/>
      <c r="F290" s="7" t="n"/>
      <c r="G290" s="7" t="n"/>
      <c r="H290" s="7" t="n"/>
      <c r="I290" s="10" t="n"/>
      <c r="J290" s="11">
        <f>IF(I290="","",IF(K290&lt;&gt;"",K290-I290,TODAY()-I290))</f>
        <v/>
      </c>
      <c r="K290" s="10" t="n"/>
      <c r="L290" s="10" t="n"/>
      <c r="M290" s="8" t="n"/>
      <c r="N290" s="8" t="n"/>
      <c r="O290" s="8" t="n"/>
      <c r="P290" s="8" t="n"/>
      <c r="Q290" s="8" t="n"/>
      <c r="R290" s="7" t="n"/>
      <c r="S290" s="12" t="n"/>
      <c r="T290" s="8" t="n"/>
    </row>
    <row r="291" ht="18" customHeight="1">
      <c r="A291" s="6" t="n"/>
      <c r="B291" s="7" t="n"/>
      <c r="C291" s="8" t="n"/>
      <c r="D291" s="9">
        <f>IF(OR(E291="",B291="完了"),"",IF(TODAY()&gt;E291,"超過",IF(TODAY()+3&gt;=E291,"間近","")))</f>
        <v/>
      </c>
      <c r="E291" s="10" t="n"/>
      <c r="F291" s="7" t="n"/>
      <c r="G291" s="7" t="n"/>
      <c r="H291" s="7" t="n"/>
      <c r="I291" s="10" t="n"/>
      <c r="J291" s="11">
        <f>IF(I291="","",IF(K291&lt;&gt;"",K291-I291,TODAY()-I291))</f>
        <v/>
      </c>
      <c r="K291" s="10" t="n"/>
      <c r="L291" s="10" t="n"/>
      <c r="M291" s="8" t="n"/>
      <c r="N291" s="8" t="n"/>
      <c r="O291" s="8" t="n"/>
      <c r="P291" s="8" t="n"/>
      <c r="Q291" s="8" t="n"/>
      <c r="R291" s="7" t="n"/>
      <c r="S291" s="12" t="n"/>
      <c r="T291" s="8" t="n"/>
    </row>
    <row r="292" ht="18" customHeight="1">
      <c r="A292" s="6" t="n"/>
      <c r="B292" s="7" t="n"/>
      <c r="C292" s="8" t="n"/>
      <c r="D292" s="9">
        <f>IF(OR(E292="",B292="完了"),"",IF(TODAY()&gt;E292,"超過",IF(TODAY()+3&gt;=E292,"間近","")))</f>
        <v/>
      </c>
      <c r="E292" s="10" t="n"/>
      <c r="F292" s="7" t="n"/>
      <c r="G292" s="7" t="n"/>
      <c r="H292" s="7" t="n"/>
      <c r="I292" s="10" t="n"/>
      <c r="J292" s="11">
        <f>IF(I292="","",IF(K292&lt;&gt;"",K292-I292,TODAY()-I292))</f>
        <v/>
      </c>
      <c r="K292" s="10" t="n"/>
      <c r="L292" s="10" t="n"/>
      <c r="M292" s="8" t="n"/>
      <c r="N292" s="8" t="n"/>
      <c r="O292" s="8" t="n"/>
      <c r="P292" s="8" t="n"/>
      <c r="Q292" s="8" t="n"/>
      <c r="R292" s="7" t="n"/>
      <c r="S292" s="12" t="n"/>
      <c r="T292" s="8" t="n"/>
    </row>
    <row r="293" ht="18" customHeight="1">
      <c r="A293" s="6" t="n"/>
      <c r="B293" s="7" t="n"/>
      <c r="C293" s="8" t="n"/>
      <c r="D293" s="9">
        <f>IF(OR(E293="",B293="完了"),"",IF(TODAY()&gt;E293,"超過",IF(TODAY()+3&gt;=E293,"間近","")))</f>
        <v/>
      </c>
      <c r="E293" s="10" t="n"/>
      <c r="F293" s="7" t="n"/>
      <c r="G293" s="7" t="n"/>
      <c r="H293" s="7" t="n"/>
      <c r="I293" s="10" t="n"/>
      <c r="J293" s="11">
        <f>IF(I293="","",IF(K293&lt;&gt;"",K293-I293,TODAY()-I293))</f>
        <v/>
      </c>
      <c r="K293" s="10" t="n"/>
      <c r="L293" s="10" t="n"/>
      <c r="M293" s="8" t="n"/>
      <c r="N293" s="8" t="n"/>
      <c r="O293" s="8" t="n"/>
      <c r="P293" s="8" t="n"/>
      <c r="Q293" s="8" t="n"/>
      <c r="R293" s="7" t="n"/>
      <c r="S293" s="12" t="n"/>
      <c r="T293" s="8" t="n"/>
    </row>
    <row r="294" ht="18" customHeight="1">
      <c r="A294" s="6" t="n"/>
      <c r="B294" s="7" t="n"/>
      <c r="C294" s="8" t="n"/>
      <c r="D294" s="9">
        <f>IF(OR(E294="",B294="完了"),"",IF(TODAY()&gt;E294,"超過",IF(TODAY()+3&gt;=E294,"間近","")))</f>
        <v/>
      </c>
      <c r="E294" s="10" t="n"/>
      <c r="F294" s="7" t="n"/>
      <c r="G294" s="7" t="n"/>
      <c r="H294" s="7" t="n"/>
      <c r="I294" s="10" t="n"/>
      <c r="J294" s="11">
        <f>IF(I294="","",IF(K294&lt;&gt;"",K294-I294,TODAY()-I294))</f>
        <v/>
      </c>
      <c r="K294" s="10" t="n"/>
      <c r="L294" s="10" t="n"/>
      <c r="M294" s="8" t="n"/>
      <c r="N294" s="8" t="n"/>
      <c r="O294" s="8" t="n"/>
      <c r="P294" s="8" t="n"/>
      <c r="Q294" s="8" t="n"/>
      <c r="R294" s="7" t="n"/>
      <c r="S294" s="12" t="n"/>
      <c r="T294" s="8" t="n"/>
    </row>
    <row r="295" ht="18" customHeight="1">
      <c r="A295" s="6" t="n"/>
      <c r="B295" s="7" t="n"/>
      <c r="C295" s="8" t="n"/>
      <c r="D295" s="9">
        <f>IF(OR(E295="",B295="完了"),"",IF(TODAY()&gt;E295,"超過",IF(TODAY()+3&gt;=E295,"間近","")))</f>
        <v/>
      </c>
      <c r="E295" s="10" t="n"/>
      <c r="F295" s="7" t="n"/>
      <c r="G295" s="7" t="n"/>
      <c r="H295" s="7" t="n"/>
      <c r="I295" s="10" t="n"/>
      <c r="J295" s="11">
        <f>IF(I295="","",IF(K295&lt;&gt;"",K295-I295,TODAY()-I295))</f>
        <v/>
      </c>
      <c r="K295" s="10" t="n"/>
      <c r="L295" s="10" t="n"/>
      <c r="M295" s="8" t="n"/>
      <c r="N295" s="8" t="n"/>
      <c r="O295" s="8" t="n"/>
      <c r="P295" s="8" t="n"/>
      <c r="Q295" s="8" t="n"/>
      <c r="R295" s="7" t="n"/>
      <c r="S295" s="12" t="n"/>
      <c r="T295" s="8" t="n"/>
    </row>
    <row r="296" ht="18" customHeight="1">
      <c r="A296" s="6" t="n"/>
      <c r="B296" s="7" t="n"/>
      <c r="C296" s="8" t="n"/>
      <c r="D296" s="9">
        <f>IF(OR(E296="",B296="完了"),"",IF(TODAY()&gt;E296,"超過",IF(TODAY()+3&gt;=E296,"間近","")))</f>
        <v/>
      </c>
      <c r="E296" s="10" t="n"/>
      <c r="F296" s="7" t="n"/>
      <c r="G296" s="7" t="n"/>
      <c r="H296" s="7" t="n"/>
      <c r="I296" s="10" t="n"/>
      <c r="J296" s="11">
        <f>IF(I296="","",IF(K296&lt;&gt;"",K296-I296,TODAY()-I296))</f>
        <v/>
      </c>
      <c r="K296" s="10" t="n"/>
      <c r="L296" s="10" t="n"/>
      <c r="M296" s="8" t="n"/>
      <c r="N296" s="8" t="n"/>
      <c r="O296" s="8" t="n"/>
      <c r="P296" s="8" t="n"/>
      <c r="Q296" s="8" t="n"/>
      <c r="R296" s="7" t="n"/>
      <c r="S296" s="12" t="n"/>
      <c r="T296" s="8" t="n"/>
    </row>
    <row r="297" ht="18" customHeight="1">
      <c r="A297" s="6" t="n"/>
      <c r="B297" s="7" t="n"/>
      <c r="C297" s="8" t="n"/>
      <c r="D297" s="9">
        <f>IF(OR(E297="",B297="完了"),"",IF(TODAY()&gt;E297,"超過",IF(TODAY()+3&gt;=E297,"間近","")))</f>
        <v/>
      </c>
      <c r="E297" s="10" t="n"/>
      <c r="F297" s="7" t="n"/>
      <c r="G297" s="7" t="n"/>
      <c r="H297" s="7" t="n"/>
      <c r="I297" s="10" t="n"/>
      <c r="J297" s="11">
        <f>IF(I297="","",IF(K297&lt;&gt;"",K297-I297,TODAY()-I297))</f>
        <v/>
      </c>
      <c r="K297" s="10" t="n"/>
      <c r="L297" s="10" t="n"/>
      <c r="M297" s="8" t="n"/>
      <c r="N297" s="8" t="n"/>
      <c r="O297" s="8" t="n"/>
      <c r="P297" s="8" t="n"/>
      <c r="Q297" s="8" t="n"/>
      <c r="R297" s="7" t="n"/>
      <c r="S297" s="12" t="n"/>
      <c r="T297" s="8" t="n"/>
    </row>
    <row r="298" ht="18" customHeight="1">
      <c r="A298" s="6" t="n"/>
      <c r="B298" s="7" t="n"/>
      <c r="C298" s="8" t="n"/>
      <c r="D298" s="9">
        <f>IF(OR(E298="",B298="完了"),"",IF(TODAY()&gt;E298,"超過",IF(TODAY()+3&gt;=E298,"間近","")))</f>
        <v/>
      </c>
      <c r="E298" s="10" t="n"/>
      <c r="F298" s="7" t="n"/>
      <c r="G298" s="7" t="n"/>
      <c r="H298" s="7" t="n"/>
      <c r="I298" s="10" t="n"/>
      <c r="J298" s="11">
        <f>IF(I298="","",IF(K298&lt;&gt;"",K298-I298,TODAY()-I298))</f>
        <v/>
      </c>
      <c r="K298" s="10" t="n"/>
      <c r="L298" s="10" t="n"/>
      <c r="M298" s="8" t="n"/>
      <c r="N298" s="8" t="n"/>
      <c r="O298" s="8" t="n"/>
      <c r="P298" s="8" t="n"/>
      <c r="Q298" s="8" t="n"/>
      <c r="R298" s="7" t="n"/>
      <c r="S298" s="12" t="n"/>
      <c r="T298" s="8" t="n"/>
    </row>
    <row r="299" ht="18" customHeight="1">
      <c r="A299" s="6" t="n"/>
      <c r="B299" s="7" t="n"/>
      <c r="C299" s="8" t="n"/>
      <c r="D299" s="9">
        <f>IF(OR(E299="",B299="完了"),"",IF(TODAY()&gt;E299,"超過",IF(TODAY()+3&gt;=E299,"間近","")))</f>
        <v/>
      </c>
      <c r="E299" s="10" t="n"/>
      <c r="F299" s="7" t="n"/>
      <c r="G299" s="7" t="n"/>
      <c r="H299" s="7" t="n"/>
      <c r="I299" s="10" t="n"/>
      <c r="J299" s="11">
        <f>IF(I299="","",IF(K299&lt;&gt;"",K299-I299,TODAY()-I299))</f>
        <v/>
      </c>
      <c r="K299" s="10" t="n"/>
      <c r="L299" s="10" t="n"/>
      <c r="M299" s="8" t="n"/>
      <c r="N299" s="8" t="n"/>
      <c r="O299" s="8" t="n"/>
      <c r="P299" s="8" t="n"/>
      <c r="Q299" s="8" t="n"/>
      <c r="R299" s="7" t="n"/>
      <c r="S299" s="12" t="n"/>
      <c r="T299" s="8" t="n"/>
    </row>
    <row r="300" ht="18" customHeight="1">
      <c r="A300" s="6" t="n"/>
      <c r="B300" s="7" t="n"/>
      <c r="C300" s="8" t="n"/>
      <c r="D300" s="9">
        <f>IF(OR(E300="",B300="完了"),"",IF(TODAY()&gt;E300,"超過",IF(TODAY()+3&gt;=E300,"間近","")))</f>
        <v/>
      </c>
      <c r="E300" s="10" t="n"/>
      <c r="F300" s="7" t="n"/>
      <c r="G300" s="7" t="n"/>
      <c r="H300" s="7" t="n"/>
      <c r="I300" s="10" t="n"/>
      <c r="J300" s="11">
        <f>IF(I300="","",IF(K300&lt;&gt;"",K300-I300,TODAY()-I300))</f>
        <v/>
      </c>
      <c r="K300" s="10" t="n"/>
      <c r="L300" s="10" t="n"/>
      <c r="M300" s="8" t="n"/>
      <c r="N300" s="8" t="n"/>
      <c r="O300" s="8" t="n"/>
      <c r="P300" s="8" t="n"/>
      <c r="Q300" s="8" t="n"/>
      <c r="R300" s="7" t="n"/>
      <c r="S300" s="12" t="n"/>
      <c r="T300" s="8" t="n"/>
    </row>
    <row r="301" ht="18" customHeight="1">
      <c r="A301" s="6" t="n"/>
      <c r="B301" s="7" t="n"/>
      <c r="C301" s="8" t="n"/>
      <c r="D301" s="9">
        <f>IF(OR(E301="",B301="完了"),"",IF(TODAY()&gt;E301,"超過",IF(TODAY()+3&gt;=E301,"間近","")))</f>
        <v/>
      </c>
      <c r="E301" s="10" t="n"/>
      <c r="F301" s="7" t="n"/>
      <c r="G301" s="7" t="n"/>
      <c r="H301" s="7" t="n"/>
      <c r="I301" s="10" t="n"/>
      <c r="J301" s="11">
        <f>IF(I301="","",IF(K301&lt;&gt;"",K301-I301,TODAY()-I301))</f>
        <v/>
      </c>
      <c r="K301" s="10" t="n"/>
      <c r="L301" s="10" t="n"/>
      <c r="M301" s="8" t="n"/>
      <c r="N301" s="8" t="n"/>
      <c r="O301" s="8" t="n"/>
      <c r="P301" s="8" t="n"/>
      <c r="Q301" s="8" t="n"/>
      <c r="R301" s="7" t="n"/>
      <c r="S301" s="12" t="n"/>
      <c r="T301" s="8" t="n"/>
    </row>
    <row r="302" ht="18" customHeight="1">
      <c r="A302" s="6" t="n"/>
      <c r="B302" s="7" t="n"/>
      <c r="C302" s="8" t="n"/>
      <c r="D302" s="9">
        <f>IF(OR(E302="",B302="完了"),"",IF(TODAY()&gt;E302,"超過",IF(TODAY()+3&gt;=E302,"間近","")))</f>
        <v/>
      </c>
      <c r="E302" s="10" t="n"/>
      <c r="F302" s="7" t="n"/>
      <c r="G302" s="7" t="n"/>
      <c r="H302" s="7" t="n"/>
      <c r="I302" s="10" t="n"/>
      <c r="J302" s="11">
        <f>IF(I302="","",IF(K302&lt;&gt;"",K302-I302,TODAY()-I302))</f>
        <v/>
      </c>
      <c r="K302" s="10" t="n"/>
      <c r="L302" s="10" t="n"/>
      <c r="M302" s="8" t="n"/>
      <c r="N302" s="8" t="n"/>
      <c r="O302" s="8" t="n"/>
      <c r="P302" s="8" t="n"/>
      <c r="Q302" s="8" t="n"/>
      <c r="R302" s="7" t="n"/>
      <c r="S302" s="12" t="n"/>
      <c r="T302" s="8" t="n"/>
    </row>
  </sheetData>
  <autoFilter ref="A2:T302"/>
  <mergeCells count="3">
    <mergeCell ref="A1:D1"/>
    <mergeCell ref="N1:T1"/>
    <mergeCell ref="E1:M1"/>
  </mergeCells>
  <conditionalFormatting sqref="B3:B302">
    <cfRule type="cellIs" priority="1" operator="equal" dxfId="0">
      <formula>"未対応"</formula>
    </cfRule>
    <cfRule type="cellIs" priority="2" operator="equal" dxfId="1">
      <formula>"対応中"</formula>
    </cfRule>
    <cfRule type="cellIs" priority="3" operator="equal" dxfId="2">
      <formula>"保留"</formula>
    </cfRule>
    <cfRule type="cellIs" priority="4" operator="equal" dxfId="3">
      <formula>"完了"</formula>
    </cfRule>
  </conditionalFormatting>
  <conditionalFormatting sqref="D3:D302">
    <cfRule type="cellIs" priority="5" operator="equal" dxfId="4">
      <formula>"超過"</formula>
    </cfRule>
    <cfRule type="cellIs" priority="6" operator="equal" dxfId="5">
      <formula>"間近"</formula>
    </cfRule>
  </conditionalFormatting>
  <conditionalFormatting sqref="F3:F302">
    <cfRule type="cellIs" priority="7" operator="equal" dxfId="6">
      <formula>"高"</formula>
    </cfRule>
    <cfRule type="expression" priority="11" dxfId="7">
      <formula>$D3="超過"</formula>
    </cfRule>
    <cfRule type="expression" priority="16" dxfId="8">
      <formula>$B3="完了"</formula>
    </cfRule>
  </conditionalFormatting>
  <conditionalFormatting sqref="A3:A302">
    <cfRule type="expression" priority="8" dxfId="7">
      <formula>$D3="超過"</formula>
    </cfRule>
    <cfRule type="expression" priority="13" dxfId="8">
      <formula>$B3="完了"</formula>
    </cfRule>
  </conditionalFormatting>
  <conditionalFormatting sqref="C3:C302">
    <cfRule type="expression" priority="9" dxfId="7">
      <formula>$D3="超過"</formula>
    </cfRule>
    <cfRule type="expression" priority="14" dxfId="8">
      <formula>$B3="完了"</formula>
    </cfRule>
  </conditionalFormatting>
  <conditionalFormatting sqref="E3:E302">
    <cfRule type="expression" priority="10" dxfId="7">
      <formula>$D3="超過"</formula>
    </cfRule>
    <cfRule type="expression" priority="15" dxfId="8">
      <formula>$B3="完了"</formula>
    </cfRule>
  </conditionalFormatting>
  <conditionalFormatting sqref="G3:T302">
    <cfRule type="expression" priority="12" dxfId="7">
      <formula>$D3="超過"</formula>
    </cfRule>
    <cfRule type="expression" priority="17" dxfId="8">
      <formula>$B3="完了"</formula>
    </cfRule>
  </conditionalFormatting>
  <dataValidations count="10">
    <dataValidation sqref="B3:B1002" showDropDown="0" showInputMessage="0" showErrorMessage="1" allowBlank="1" errorTitle="入力エラー" error="プルダウンから選んでください。選択肢は「マスタ」シートで変更できます。" type="list">
      <formula1>='マスタ'!$B$2:$B$5</formula1>
    </dataValidation>
    <dataValidation sqref="H3:H1002" showDropDown="0" showInputMessage="0" showErrorMessage="1" allowBlank="1" errorTitle="入力エラー" error="プルダウンから選んでください。選択肢は「マスタ」シートで変更できます。" type="list">
      <formula1>='マスタ'!$A$2:$A$6</formula1>
    </dataValidation>
    <dataValidation sqref="F3:F1002" showDropDown="0" showInputMessage="0" showErrorMessage="1" allowBlank="1" errorTitle="入力エラー" error="プルダウンから選んでください。選択肢は「マスタ」シートで変更できます。" type="list">
      <formula1>='マスタ'!$C$2:$C$4</formula1>
    </dataValidation>
    <dataValidation sqref="R3:R1002" showDropDown="0" showInputMessage="0" showErrorMessage="1" allowBlank="1" errorTitle="入力エラー" error="プルダウンから選んでください。選択肢は「マスタ」シートで変更できます。" type="list">
      <formula1>='マスタ'!$D$2:$D$4</formula1>
    </dataValidation>
    <dataValidation sqref="G3:G1002" showDropDown="0" showInputMessage="0" showErrorMessage="0" allowBlank="1" type="list">
      <formula1>='マスタ'!$E$2:$E$21</formula1>
    </dataValidation>
    <dataValidation sqref="E3:E1002" showDropDown="0" showInputMessage="0" showErrorMessage="1" allowBlank="1" errorTitle="入力エラー" error="日付を 2026/09/20 の形式で入力してください。今日の日付は Ctrl+; で入ります。" type="date" operator="greaterThan">
      <formula1>DATE(2000,1,1)</formula1>
    </dataValidation>
    <dataValidation sqref="I3:I1002" showDropDown="0" showInputMessage="0" showErrorMessage="1" allowBlank="1" errorTitle="入力エラー" error="日付を 2026/09/20 の形式で入力してください。今日の日付は Ctrl+; で入ります。" type="date" operator="greaterThan">
      <formula1>DATE(2000,1,1)</formula1>
    </dataValidation>
    <dataValidation sqref="K3:K1002" showDropDown="0" showInputMessage="0" showErrorMessage="1" allowBlank="1" errorTitle="入力エラー" error="日付を 2026/09/20 の形式で入力してください。今日の日付は Ctrl+; で入ります。" type="date" operator="greaterThan">
      <formula1>DATE(2000,1,1)</formula1>
    </dataValidation>
    <dataValidation sqref="L3:L1002" showDropDown="0" showInputMessage="0" showErrorMessage="1" allowBlank="1" errorTitle="入力エラー" error="日付を 2026/09/20 の形式で入力してください。今日の日付は Ctrl+; で入ります。" type="date" operator="greaterThan">
      <formula1>DATE(2000,1,1)</formula1>
    </dataValidation>
    <dataValidation sqref="S3:S1002" showDropDown="0" showInputMessage="0" showErrorMessage="1" allowBlank="1" errorTitle="入力エラー" error="金額は数値だけで入力してください（例: 45000）。" type="decimal" operator="greaterThanOrEqual">
      <formula1>0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>
      <c r="A1" s="13" t="inlineStr">
        <is>
          <t>集計（自動計算・入力は不要です）</t>
        </is>
      </c>
    </row>
    <row r="2">
      <c r="A2" s="14" t="inlineStr">
        <is>
          <t>「対応管理表」シートの内容から自動で計算しています。集計日:</t>
        </is>
      </c>
      <c r="D2" s="15">
        <f>TODAY()</f>
        <v/>
      </c>
    </row>
    <row r="4">
      <c r="A4" s="16" t="inlineStr">
        <is>
          <t>■ 対応状況別の件数</t>
        </is>
      </c>
      <c r="D4" s="16" t="inlineStr">
        <is>
          <t>■ 区分 × 対応状況</t>
        </is>
      </c>
    </row>
    <row r="5">
      <c r="A5" s="17" t="inlineStr">
        <is>
          <t>対応状況</t>
        </is>
      </c>
      <c r="B5" s="17" t="inlineStr">
        <is>
          <t>件数</t>
        </is>
      </c>
      <c r="D5" s="17" t="inlineStr">
        <is>
          <t>区分</t>
        </is>
      </c>
      <c r="E5" s="17" t="inlineStr">
        <is>
          <t>未対応</t>
        </is>
      </c>
      <c r="F5" s="17" t="inlineStr">
        <is>
          <t>対応中</t>
        </is>
      </c>
      <c r="G5" s="17" t="inlineStr">
        <is>
          <t>保留</t>
        </is>
      </c>
      <c r="H5" s="17" t="inlineStr">
        <is>
          <t>完了</t>
        </is>
      </c>
      <c r="I5" s="17" t="inlineStr">
        <is>
          <t>合計</t>
        </is>
      </c>
      <c r="J5" s="17" t="inlineStr">
        <is>
          <t>費用合計（円）</t>
        </is>
      </c>
    </row>
    <row r="6">
      <c r="A6" s="18" t="inlineStr">
        <is>
          <t>未対応</t>
        </is>
      </c>
      <c r="B6" s="19">
        <f>COUNTIF('対応管理表'!$B$3:$B$1002,A6)</f>
        <v/>
      </c>
      <c r="D6" s="18" t="inlineStr">
        <is>
          <t>破損</t>
        </is>
      </c>
      <c r="E6" s="19">
        <f>COUNTIFS('対応管理表'!$H$3:$H$1002,$D6,'対応管理表'!$B$3:$B$1002,E$5)</f>
        <v/>
      </c>
      <c r="F6" s="19">
        <f>COUNTIFS('対応管理表'!$H$3:$H$1002,$D6,'対応管理表'!$B$3:$B$1002,F$5)</f>
        <v/>
      </c>
      <c r="G6" s="19">
        <f>COUNTIFS('対応管理表'!$H$3:$H$1002,$D6,'対応管理表'!$B$3:$B$1002,G$5)</f>
        <v/>
      </c>
      <c r="H6" s="19">
        <f>COUNTIFS('対応管理表'!$H$3:$H$1002,$D6,'対応管理表'!$B$3:$B$1002,H$5)</f>
        <v/>
      </c>
      <c r="I6" s="20">
        <f>SUM(E6:H6)</f>
        <v/>
      </c>
      <c r="J6" s="19">
        <f>SUMIF('対応管理表'!$H$3:$H$1002,$D6,'対応管理表'!$S$3:$S$1002)</f>
        <v/>
      </c>
    </row>
    <row r="7">
      <c r="A7" s="18" t="inlineStr">
        <is>
          <t>対応中</t>
        </is>
      </c>
      <c r="B7" s="19">
        <f>COUNTIF('対応管理表'!$B$3:$B$1002,A7)</f>
        <v/>
      </c>
      <c r="D7" s="18" t="inlineStr">
        <is>
          <t>故障</t>
        </is>
      </c>
      <c r="E7" s="19">
        <f>COUNTIFS('対応管理表'!$H$3:$H$1002,$D7,'対応管理表'!$B$3:$B$1002,E$5)</f>
        <v/>
      </c>
      <c r="F7" s="19">
        <f>COUNTIFS('対応管理表'!$H$3:$H$1002,$D7,'対応管理表'!$B$3:$B$1002,F$5)</f>
        <v/>
      </c>
      <c r="G7" s="19">
        <f>COUNTIFS('対応管理表'!$H$3:$H$1002,$D7,'対応管理表'!$B$3:$B$1002,G$5)</f>
        <v/>
      </c>
      <c r="H7" s="19">
        <f>COUNTIFS('対応管理表'!$H$3:$H$1002,$D7,'対応管理表'!$B$3:$B$1002,H$5)</f>
        <v/>
      </c>
      <c r="I7" s="20">
        <f>SUM(E7:H7)</f>
        <v/>
      </c>
      <c r="J7" s="19">
        <f>SUMIF('対応管理表'!$H$3:$H$1002,$D7,'対応管理表'!$S$3:$S$1002)</f>
        <v/>
      </c>
    </row>
    <row r="8">
      <c r="A8" s="18" t="inlineStr">
        <is>
          <t>保留</t>
        </is>
      </c>
      <c r="B8" s="19">
        <f>COUNTIF('対応管理表'!$B$3:$B$1002,A8)</f>
        <v/>
      </c>
      <c r="D8" s="18" t="inlineStr">
        <is>
          <t>盗難</t>
        </is>
      </c>
      <c r="E8" s="19">
        <f>COUNTIFS('対応管理表'!$H$3:$H$1002,$D8,'対応管理表'!$B$3:$B$1002,E$5)</f>
        <v/>
      </c>
      <c r="F8" s="19">
        <f>COUNTIFS('対応管理表'!$H$3:$H$1002,$D8,'対応管理表'!$B$3:$B$1002,F$5)</f>
        <v/>
      </c>
      <c r="G8" s="19">
        <f>COUNTIFS('対応管理表'!$H$3:$H$1002,$D8,'対応管理表'!$B$3:$B$1002,G$5)</f>
        <v/>
      </c>
      <c r="H8" s="19">
        <f>COUNTIFS('対応管理表'!$H$3:$H$1002,$D8,'対応管理表'!$B$3:$B$1002,H$5)</f>
        <v/>
      </c>
      <c r="I8" s="20">
        <f>SUM(E8:H8)</f>
        <v/>
      </c>
      <c r="J8" s="19">
        <f>SUMIF('対応管理表'!$H$3:$H$1002,$D8,'対応管理表'!$S$3:$S$1002)</f>
        <v/>
      </c>
    </row>
    <row r="9">
      <c r="A9" s="18" t="inlineStr">
        <is>
          <t>完了</t>
        </is>
      </c>
      <c r="B9" s="19">
        <f>COUNTIF('対応管理表'!$B$3:$B$1002,A9)</f>
        <v/>
      </c>
      <c r="D9" s="18" t="inlineStr">
        <is>
          <t>紛失</t>
        </is>
      </c>
      <c r="E9" s="19">
        <f>COUNTIFS('対応管理表'!$H$3:$H$1002,$D9,'対応管理表'!$B$3:$B$1002,E$5)</f>
        <v/>
      </c>
      <c r="F9" s="19">
        <f>COUNTIFS('対応管理表'!$H$3:$H$1002,$D9,'対応管理表'!$B$3:$B$1002,F$5)</f>
        <v/>
      </c>
      <c r="G9" s="19">
        <f>COUNTIFS('対応管理表'!$H$3:$H$1002,$D9,'対応管理表'!$B$3:$B$1002,G$5)</f>
        <v/>
      </c>
      <c r="H9" s="19">
        <f>COUNTIFS('対応管理表'!$H$3:$H$1002,$D9,'対応管理表'!$B$3:$B$1002,H$5)</f>
        <v/>
      </c>
      <c r="I9" s="20">
        <f>SUM(E9:H9)</f>
        <v/>
      </c>
      <c r="J9" s="19">
        <f>SUMIF('対応管理表'!$H$3:$H$1002,$D9,'対応管理表'!$S$3:$S$1002)</f>
        <v/>
      </c>
    </row>
    <row r="10">
      <c r="A10" s="21" t="inlineStr">
        <is>
          <t>合計</t>
        </is>
      </c>
      <c r="B10" s="20">
        <f>SUM(B6:B9)</f>
        <v/>
      </c>
      <c r="D10" s="18" t="inlineStr">
        <is>
          <t>その他</t>
        </is>
      </c>
      <c r="E10" s="19">
        <f>COUNTIFS('対応管理表'!$H$3:$H$1002,$D10,'対応管理表'!$B$3:$B$1002,E$5)</f>
        <v/>
      </c>
      <c r="F10" s="19">
        <f>COUNTIFS('対応管理表'!$H$3:$H$1002,$D10,'対応管理表'!$B$3:$B$1002,F$5)</f>
        <v/>
      </c>
      <c r="G10" s="19">
        <f>COUNTIFS('対応管理表'!$H$3:$H$1002,$D10,'対応管理表'!$B$3:$B$1002,G$5)</f>
        <v/>
      </c>
      <c r="H10" s="19">
        <f>COUNTIFS('対応管理表'!$H$3:$H$1002,$D10,'対応管理表'!$B$3:$B$1002,H$5)</f>
        <v/>
      </c>
      <c r="I10" s="20">
        <f>SUM(E10:H10)</f>
        <v/>
      </c>
      <c r="J10" s="19">
        <f>SUMIF('対応管理表'!$H$3:$H$1002,$D10,'対応管理表'!$S$3:$S$1002)</f>
        <v/>
      </c>
    </row>
    <row r="11">
      <c r="A11" s="22" t="inlineStr">
        <is>
          <t>未完了（未対応＋対応中＋保留）</t>
        </is>
      </c>
      <c r="B11" s="23">
        <f>B6+B7+B8</f>
        <v/>
      </c>
      <c r="D11" s="21" t="inlineStr">
        <is>
          <t>合計</t>
        </is>
      </c>
      <c r="E11" s="20">
        <f>SUM(E6:E10)</f>
        <v/>
      </c>
      <c r="F11" s="20">
        <f>SUM(F6:F10)</f>
        <v/>
      </c>
      <c r="G11" s="20">
        <f>SUM(G6:G10)</f>
        <v/>
      </c>
      <c r="H11" s="20">
        <f>SUM(H6:H10)</f>
        <v/>
      </c>
      <c r="I11" s="20">
        <f>SUM(I6:I10)</f>
        <v/>
      </c>
      <c r="J11" s="20">
        <f>SUM(J6:J10)</f>
        <v/>
      </c>
    </row>
    <row r="13">
      <c r="A13" s="16" t="inlineStr">
        <is>
          <t>■ 期限・その他</t>
        </is>
      </c>
    </row>
    <row r="14">
      <c r="A14" s="17" t="inlineStr">
        <is>
          <t>項目</t>
        </is>
      </c>
      <c r="B14" s="17" t="inlineStr">
        <is>
          <t>値</t>
        </is>
      </c>
    </row>
    <row r="15">
      <c r="A15" s="24" t="inlineStr">
        <is>
          <t>期限超過（未完了）</t>
        </is>
      </c>
      <c r="B15" s="23">
        <f>COUNTIF('対応管理表'!$D$3:$D$1002,"超過")</f>
        <v/>
      </c>
    </row>
    <row r="16">
      <c r="A16" s="24" t="inlineStr">
        <is>
          <t>期限間近（3日以内）</t>
        </is>
      </c>
      <c r="B16" s="19">
        <f>COUNTIF('対応管理表'!$D$3:$D$1002,"間近")</f>
        <v/>
      </c>
    </row>
    <row r="17">
      <c r="A17" s="24" t="inlineStr">
        <is>
          <t>今月の受付件数</t>
        </is>
      </c>
      <c r="B17" s="19">
        <f>COUNTIFS('対応管理表'!$I$3:$I$1002,"&gt;="&amp;DATE(YEAR(TODAY()),MONTH(TODAY()),1),'対応管理表'!$I$3:$I$1002,"&lt;"&amp;DATE(YEAR(TODAY()),MONTH(TODAY())+1,1))</f>
        <v/>
      </c>
    </row>
    <row r="18">
      <c r="A18" s="24" t="inlineStr">
        <is>
          <t>費用合計（円）</t>
        </is>
      </c>
      <c r="B18" s="19">
        <f>SUM('対応管理表'!$S$3:$S$1002)</f>
        <v/>
      </c>
    </row>
  </sheetData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82" customWidth="1" min="7" max="7"/>
  </cols>
  <sheetData>
    <row r="1">
      <c r="A1" s="17" t="inlineStr">
        <is>
          <t>区分</t>
        </is>
      </c>
      <c r="B1" s="17" t="inlineStr">
        <is>
          <t>対応状況</t>
        </is>
      </c>
      <c r="C1" s="17" t="inlineStr">
        <is>
          <t>優先度</t>
        </is>
      </c>
      <c r="D1" s="17" t="inlineStr">
        <is>
          <t>警察届出</t>
        </is>
      </c>
      <c r="E1" s="17" t="inlineStr">
        <is>
          <t>担当者</t>
        </is>
      </c>
      <c r="G1" s="25" t="inlineStr">
        <is>
          <t>■ このシートの使い方</t>
        </is>
      </c>
    </row>
    <row r="2">
      <c r="A2" s="26" t="inlineStr">
        <is>
          <t>破損</t>
        </is>
      </c>
      <c r="B2" s="26" t="inlineStr">
        <is>
          <t>未対応</t>
        </is>
      </c>
      <c r="C2" s="26" t="inlineStr">
        <is>
          <t>高</t>
        </is>
      </c>
      <c r="D2" s="26" t="inlineStr">
        <is>
          <t>不要</t>
        </is>
      </c>
      <c r="E2" s="26" t="inlineStr">
        <is>
          <t>総務 山田</t>
        </is>
      </c>
      <c r="G2" s="27" t="inlineStr">
        <is>
          <t>各列の選択肢が「対応管理表」シートのプルダウンに表示されます。</t>
        </is>
      </c>
    </row>
    <row r="3">
      <c r="A3" s="26" t="inlineStr">
        <is>
          <t>故障</t>
        </is>
      </c>
      <c r="B3" s="26" t="inlineStr">
        <is>
          <t>対応中</t>
        </is>
      </c>
      <c r="C3" s="26" t="inlineStr">
        <is>
          <t>中</t>
        </is>
      </c>
      <c r="D3" s="26" t="inlineStr">
        <is>
          <t>未</t>
        </is>
      </c>
      <c r="E3" s="26" t="inlineStr">
        <is>
          <t>総務 佐藤</t>
        </is>
      </c>
      <c r="G3" s="27" t="inlineStr">
        <is>
          <t>担当者（E列）は自社の担当者名に書き換えてください（20名まで登録できます）。</t>
        </is>
      </c>
    </row>
    <row r="4">
      <c r="A4" s="26" t="inlineStr">
        <is>
          <t>盗難</t>
        </is>
      </c>
      <c r="B4" s="26" t="inlineStr">
        <is>
          <t>保留</t>
        </is>
      </c>
      <c r="C4" s="26" t="inlineStr">
        <is>
          <t>低</t>
        </is>
      </c>
      <c r="D4" s="26" t="inlineStr">
        <is>
          <t>済</t>
        </is>
      </c>
      <c r="E4" s="26" t="inlineStr">
        <is>
          <t>総務 鈴木</t>
        </is>
      </c>
      <c r="G4" s="27" t="inlineStr">
        <is>
          <t>区分・対応状況の名前を変えた場合は、「集計」シートの項目名も同じ名前に揃えてください。</t>
        </is>
      </c>
    </row>
    <row r="5">
      <c r="A5" s="26" t="inlineStr">
        <is>
          <t>紛失</t>
        </is>
      </c>
      <c r="B5" s="26" t="inlineStr">
        <is>
          <t>完了</t>
        </is>
      </c>
      <c r="E5" s="28" t="n"/>
    </row>
    <row r="6">
      <c r="A6" s="26" t="inlineStr">
        <is>
          <t>その他</t>
        </is>
      </c>
      <c r="E6" s="28" t="n"/>
    </row>
    <row r="7">
      <c r="E7" s="28" t="n"/>
    </row>
    <row r="8">
      <c r="E8" s="28" t="n"/>
    </row>
    <row r="9">
      <c r="E9" s="28" t="n"/>
    </row>
    <row r="10">
      <c r="E10" s="28" t="n"/>
    </row>
    <row r="11">
      <c r="E11" s="28" t="n"/>
    </row>
    <row r="12">
      <c r="E12" s="28" t="n"/>
    </row>
    <row r="13">
      <c r="E13" s="28" t="n"/>
    </row>
    <row r="14">
      <c r="E14" s="28" t="n"/>
    </row>
    <row r="15">
      <c r="E15" s="28" t="n"/>
    </row>
    <row r="16">
      <c r="E16" s="28" t="n"/>
    </row>
    <row r="17">
      <c r="E17" s="28" t="n"/>
    </row>
    <row r="18">
      <c r="E18" s="28" t="n"/>
    </row>
    <row r="19">
      <c r="E19" s="28" t="n"/>
    </row>
    <row r="20">
      <c r="E20" s="28" t="n"/>
    </row>
    <row r="21">
      <c r="E21" s="28" t="n"/>
    </row>
  </sheetData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C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88" customWidth="1" min="3" max="3"/>
  </cols>
  <sheetData>
    <row r="1">
      <c r="B1" s="13" t="inlineStr">
        <is>
          <t>対応管理表の使い方</t>
        </is>
      </c>
    </row>
    <row r="2" ht="36" customHeight="1">
      <c r="C2" s="29" t="inlineStr">
        <is>
          <t>備品・設備が壊れた／盗まれた／なくなった時に、「今どこまで対応が進んでいるか」を一覧で管理するための台帳です。</t>
        </is>
      </c>
    </row>
    <row r="4">
      <c r="B4" s="30" t="inlineStr">
        <is>
          <t>0. Google スプレッドシートへの取り込み（最初に1回だけ）</t>
        </is>
      </c>
    </row>
    <row r="5" ht="36" customHeight="1">
      <c r="C5" s="29" t="inlineStr">
        <is>
          <t>① drive.google.com を開き、このファイルを画面にドラッグ＆ドロップします。</t>
        </is>
      </c>
    </row>
    <row r="6" ht="36" customHeight="1">
      <c r="C6" s="29" t="inlineStr">
        <is>
          <t>② アップロードされたファイルを右クリック ＞ アプリで開く ＞ Google スプレッドシート。</t>
        </is>
      </c>
    </row>
    <row r="7" ht="36" customHeight="1">
      <c r="C7" s="29" t="inlineStr">
        <is>
          <t>③ ファイル ＞ Google スプレッドシートとして保存 を実行します。以降はこちらを使います。</t>
        </is>
      </c>
    </row>
    <row r="8">
      <c r="C8" s="29" t="inlineStr">
        <is>
          <t>④ 元のアップロードファイル（.xlsx）は削除して構いません。</t>
        </is>
      </c>
    </row>
    <row r="9" ht="36" customHeight="1">
      <c r="C9" s="29" t="inlineStr">
        <is>
          <t>※ プルダウン・色分け・自動計算はそのまま引き継がれます。Excel でそのまま使うこともできます。</t>
        </is>
      </c>
    </row>
    <row r="11">
      <c r="B11" s="30" t="inlineStr">
        <is>
          <t>1. 画面の見かた</t>
        </is>
      </c>
    </row>
    <row r="12" ht="36" customHeight="1">
      <c r="B12" s="31" t="inlineStr">
        <is>
          <t>1行目</t>
        </is>
      </c>
      <c r="C12" s="32" t="inlineStr">
        <is>
          <t>未完了・期限超過・期限間近・担当未定の件数がつねに表示されます。期限超過が1件でもあると赤字になります。右端に今日の日付と、次に使う管理No.が出ます。</t>
        </is>
      </c>
    </row>
    <row r="13" ht="36" customHeight="1">
      <c r="B13" s="31" t="inlineStr">
        <is>
          <t>固定表示</t>
        </is>
      </c>
      <c r="C13" s="32" t="inlineStr">
        <is>
          <t>1〜2行目と、管理No.・対応状況・対象物の3列は固定です。右にスクロールしても、どの案件の行かを見失いません。</t>
        </is>
      </c>
    </row>
    <row r="14" ht="36" customHeight="1">
      <c r="B14" s="31" t="inlineStr">
        <is>
          <t>1行1件</t>
        </is>
      </c>
      <c r="C14" s="32" t="inlineStr">
        <is>
          <t>文字を折り返さない設定にしているため、すべての行の高さが揃います。画面に多くの件数が並び、探しやすくなります。</t>
        </is>
      </c>
    </row>
    <row r="15" ht="36" customHeight="1">
      <c r="B15" s="31" t="inlineStr">
        <is>
          <t>長い文の読みかた</t>
        </is>
      </c>
      <c r="C15" s="32" t="inlineStr">
        <is>
          <t>「状況・詳細」「対応内容・経過」は列の幅で切れて表示されます。全文はセルをクリックすると上の入力欄に出ます。ダブルクリックでも開けます。</t>
        </is>
      </c>
    </row>
    <row r="17">
      <c r="B17" s="30" t="inlineStr">
        <is>
          <t>2. 基本の流れ</t>
        </is>
      </c>
    </row>
    <row r="18" ht="36" customHeight="1">
      <c r="C18" s="29" t="inlineStr">
        <is>
          <t>① 報告を受けたら、一番下の空き行に1件1行で登録します。1行目の「次に使う管理No.」をそのまま管理No.欄に入力してください。</t>
        </is>
      </c>
    </row>
    <row r="19" ht="36" customHeight="1">
      <c r="C19" s="29" t="inlineStr">
        <is>
          <t>② 対象物・区分・受付日・発生場所・報告者・状況を埋めます。日付は Ctrl+; で今日の日付が入ります。</t>
        </is>
      </c>
    </row>
    <row r="20">
      <c r="C20" s="29" t="inlineStr">
        <is>
          <t>③ 対応担当者と対応期限を決め、対応状況を「未対応」から「対応中」に変えます。</t>
        </is>
      </c>
    </row>
    <row r="21" ht="36" customHeight="1">
      <c r="C21" s="29" t="inlineStr">
        <is>
          <t>④ 業者連絡や見積などの動きがあるたびに「対応内容・経過」の一番上に日付付きで追記します（セル内改行は Ctrl+Enter）。</t>
        </is>
      </c>
    </row>
    <row r="22">
      <c r="C22" s="29" t="inlineStr">
        <is>
          <t>⑤ 対応が終わったら対応状況を「完了」にし、完了日と費用を入力します。</t>
        </is>
      </c>
    </row>
    <row r="23" ht="36" customHeight="1">
      <c r="C23" s="29" t="inlineStr">
        <is>
          <t>※「対応内容・経過」は最新を一番上に書いてください。一覧には一番上の行だけが表示されるので、最新の動きが一目でわかります。</t>
        </is>
      </c>
    </row>
    <row r="25">
      <c r="B25" s="30" t="inlineStr">
        <is>
          <t>3. 色の意味（自動で付きます）</t>
        </is>
      </c>
    </row>
    <row r="26" ht="36" customHeight="1">
      <c r="B26" s="31" t="inlineStr">
        <is>
          <t>対応状況</t>
        </is>
      </c>
      <c r="C26" s="32" t="inlineStr">
        <is>
          <t>未対応＝赤、対応中＝黄、保留＝灰、完了＝緑。完了した行は文字全体が薄い灰色になります。</t>
        </is>
      </c>
    </row>
    <row r="27" ht="36" customHeight="1">
      <c r="B27" s="31" t="inlineStr">
        <is>
          <t>期限判定</t>
        </is>
      </c>
      <c r="C27" s="32" t="inlineStr">
        <is>
          <t>対応期限を過ぎた未完了案件は「超過」（赤地に白文字）になり、行全体が薄い赤になります。期限3日前からは「間近」（橙）です。</t>
        </is>
      </c>
    </row>
    <row r="28">
      <c r="B28" s="31" t="inlineStr">
        <is>
          <t>優先度</t>
        </is>
      </c>
      <c r="C28" s="32" t="inlineStr">
        <is>
          <t>「高」を選ぶと赤い太字になります。</t>
        </is>
      </c>
    </row>
    <row r="29">
      <c r="B29" s="31" t="inlineStr">
        <is>
          <t>灰色の見出しの列</t>
        </is>
      </c>
      <c r="C29" s="32" t="inlineStr">
        <is>
          <t>「期限判定」「経過日数」は自動計算です。入力しないでください。</t>
        </is>
      </c>
    </row>
    <row r="31">
      <c r="B31" s="30" t="inlineStr">
        <is>
          <t>4. 探す・絞り込む</t>
        </is>
      </c>
    </row>
    <row r="32" ht="36" customHeight="1">
      <c r="B32" s="31" t="inlineStr">
        <is>
          <t>今やるべき案件</t>
        </is>
      </c>
      <c r="C32" s="32" t="inlineStr">
        <is>
          <t>対応状況の見出しの絞り込みボタンから「完了」のチェックを外すと、未完了の案件だけが並びます。</t>
        </is>
      </c>
    </row>
    <row r="33" ht="36" customHeight="1">
      <c r="B33" s="31" t="inlineStr">
        <is>
          <t>フィルタ表示</t>
        </is>
      </c>
      <c r="C33" s="32" t="inlineStr">
        <is>
          <t>データ ＞ フィルタ表示 ＞ 新しいフィルタ表示を作成 を使うと、自分の画面だけで絞り込めます。通常の絞り込みは全員の画面に影響します。</t>
        </is>
      </c>
    </row>
    <row r="34">
      <c r="B34" s="31" t="inlineStr">
        <is>
          <t>並べ替え</t>
        </is>
      </c>
      <c r="C34" s="32" t="inlineStr">
        <is>
          <t>対応期限の見出しの絞り込みボタンから「A→Z」で、期限が近い順に並びます。</t>
        </is>
      </c>
    </row>
    <row r="35">
      <c r="B35" s="31" t="inlineStr">
        <is>
          <t>検索</t>
        </is>
      </c>
      <c r="C35" s="32" t="inlineStr">
        <is>
          <t>Ctrl+F で品名や報告者を検索できます。</t>
        </is>
      </c>
    </row>
    <row r="37">
      <c r="B37" s="30" t="inlineStr">
        <is>
          <t>5. 各列の説明</t>
        </is>
      </c>
    </row>
    <row r="38" ht="36" customHeight="1">
      <c r="B38" s="31" t="inlineStr">
        <is>
          <t>管理No.</t>
        </is>
      </c>
      <c r="C38" s="32" t="inlineStr">
        <is>
          <t>案件の通し番号。1行目に出ている「次に使う管理No.」をそのまま入力してください（年-連番）。</t>
        </is>
      </c>
    </row>
    <row r="39" ht="36" customHeight="1">
      <c r="B39" s="31" t="inlineStr">
        <is>
          <t>対応状況</t>
        </is>
      </c>
      <c r="C39" s="32" t="inlineStr">
        <is>
          <t>未対応・対応中・保留・完了 から選びます。保留は、先方待ち・予算待ちなど自分では動かせない状態を指します。</t>
        </is>
      </c>
    </row>
    <row r="40">
      <c r="B40" s="31" t="inlineStr">
        <is>
          <t>対象物（品名）</t>
        </is>
      </c>
      <c r="C40" s="32" t="inlineStr">
        <is>
          <t>何が壊れた／なくなったか。誰が見てもわかる呼び名で書きます。</t>
        </is>
      </c>
    </row>
    <row r="41">
      <c r="B41" s="31" t="inlineStr">
        <is>
          <t>対応期限 / 完了日</t>
        </is>
      </c>
      <c r="C41" s="32" t="inlineStr">
        <is>
          <t>いつまでに対応するか、実際に終わった日。完了日を入れると経過日数が確定します。</t>
        </is>
      </c>
    </row>
    <row r="42">
      <c r="B42" s="31" t="inlineStr">
        <is>
          <t>優先度</t>
        </is>
      </c>
      <c r="C42" s="32" t="inlineStr">
        <is>
          <t>高＝業務停止や安全に関わる、中＝業務に支障あり、低＝急がない。</t>
        </is>
      </c>
    </row>
    <row r="43">
      <c r="B43" s="31" t="inlineStr">
        <is>
          <t>対応担当者</t>
        </is>
      </c>
      <c r="C43" s="32" t="inlineStr">
        <is>
          <t>「マスタ」シートの担当者リストから選びます。リストにない名前も直接入力できます。</t>
        </is>
      </c>
    </row>
    <row r="44">
      <c r="B44" s="31" t="inlineStr">
        <is>
          <t>区分</t>
        </is>
      </c>
      <c r="C44" s="32" t="inlineStr">
        <is>
          <t>破損・故障・盗難・紛失・その他 から選びます。</t>
        </is>
      </c>
    </row>
    <row r="45">
      <c r="B45" s="31" t="inlineStr">
        <is>
          <t>受付日 / 発生日</t>
        </is>
      </c>
      <c r="C45" s="32" t="inlineStr">
        <is>
          <t>受付日＝報告を受けた日、発生日＝実際に壊れた・盗まれた日。</t>
        </is>
      </c>
    </row>
    <row r="46">
      <c r="B46" s="31" t="inlineStr">
        <is>
          <t>発生場所 / 報告者</t>
        </is>
      </c>
      <c r="C46" s="32" t="inlineStr">
        <is>
          <t>どこで起きたか、誰からの報告か（部署と氏名）。</t>
        </is>
      </c>
    </row>
    <row r="47">
      <c r="B47" s="31" t="inlineStr">
        <is>
          <t>資産番号・管理番号</t>
        </is>
      </c>
      <c r="C47" s="32" t="inlineStr">
        <is>
          <t>備品シールや資産台帳の番号があれば入力します。</t>
        </is>
      </c>
    </row>
    <row r="48">
      <c r="B48" s="31" t="inlineStr">
        <is>
          <t>状況・詳細</t>
        </is>
      </c>
      <c r="C48" s="32" t="inlineStr">
        <is>
          <t>報告時点でわかっている事実を書きます。原因の推測と事実は分けて書くと後で役立ちます。</t>
        </is>
      </c>
    </row>
    <row r="49">
      <c r="B49" s="31" t="inlineStr">
        <is>
          <t>対応内容・経過</t>
        </is>
      </c>
      <c r="C49" s="32" t="inlineStr">
        <is>
          <t>「9/5 見積受領」のように日付付きで、最新を一番上に追記します。</t>
        </is>
      </c>
    </row>
    <row r="50">
      <c r="B50" s="31" t="inlineStr">
        <is>
          <t>警察届出</t>
        </is>
      </c>
      <c r="C50" s="32" t="inlineStr">
        <is>
          <t>盗難・紛失の場合は必ず入力します（不要・未・済）。被害届の受理番号は備考へ。</t>
        </is>
      </c>
    </row>
    <row r="51">
      <c r="B51" s="31" t="inlineStr">
        <is>
          <t>費用（円）</t>
        </is>
      </c>
      <c r="C51" s="32" t="inlineStr">
        <is>
          <t>修理費・買替費など。見積段階でも見込額を入れておくと集計に反映されます。</t>
        </is>
      </c>
    </row>
    <row r="53">
      <c r="B53" s="30" t="inlineStr">
        <is>
          <t>6. 複数人で使うときのコツ</t>
        </is>
      </c>
    </row>
    <row r="54" ht="36" customHeight="1">
      <c r="B54" s="31" t="inlineStr">
        <is>
          <t>共有</t>
        </is>
      </c>
      <c r="C54" s="32" t="inlineStr">
        <is>
          <t>右上の「共有」から同僚を追加します。入力してほしい人は「編集者」、見るだけの人は「閲覧者」にします。</t>
        </is>
      </c>
    </row>
    <row r="55">
      <c r="B55" s="31" t="inlineStr">
        <is>
          <t>同時編集</t>
        </is>
      </c>
      <c r="C55" s="32" t="inlineStr">
        <is>
          <t>全員が同時に開いて編集できます。編集中のセルには相手の色枠と名前が出ます。</t>
        </is>
      </c>
    </row>
    <row r="56" ht="36" customHeight="1">
      <c r="B56" s="31" t="inlineStr">
        <is>
          <t>担当者への連絡</t>
        </is>
      </c>
      <c r="C56" s="32" t="inlineStr">
        <is>
          <t>セルを右クリック ＞ コメント で「@メールアドレス」と書くと、相手にメールで通知が届きます。依頼や催促に使えます。</t>
        </is>
      </c>
    </row>
    <row r="57" ht="36" customHeight="1">
      <c r="B57" s="31" t="inlineStr">
        <is>
          <t>変更履歴</t>
        </is>
      </c>
      <c r="C57" s="32" t="inlineStr">
        <is>
          <t>ファイル ＞ 変更履歴 ＞ 変更履歴を表示 で、誰がいつ何を書き換えたかを確認できます。消してしまった内容も戻せます。</t>
        </is>
      </c>
    </row>
    <row r="58" ht="36" customHeight="1">
      <c r="B58" s="31" t="inlineStr">
        <is>
          <t>スマホ</t>
        </is>
      </c>
      <c r="C58" s="32" t="inlineStr">
        <is>
          <t>Google スプレッドシートのアプリを入れておくと、現場で写真を撮った直後にスマホから登録できます。</t>
        </is>
      </c>
    </row>
    <row r="60">
      <c r="B60" s="30" t="inlineStr">
        <is>
          <t>7. 注意点</t>
        </is>
      </c>
    </row>
    <row r="61" ht="36" customHeight="1">
      <c r="C61" s="29" t="inlineStr">
        <is>
          <t>・書式と自動計算は302行目（300件分）まで用意しています。足りなくなったら、最終行をコピーして下に貼り付けてください。</t>
        </is>
      </c>
    </row>
    <row r="62" ht="36" customHeight="1">
      <c r="C62" s="29" t="inlineStr">
        <is>
          <t>・プルダウンの選択肢や担当者名は「マスタ」シートで変更できます。区分・対応状況の名前を変えた場合は「集計」シートの項目名も揃えてください。</t>
        </is>
      </c>
    </row>
    <row r="63" ht="36" customHeight="1">
      <c r="C63" s="29" t="inlineStr">
        <is>
          <t>・1行目と2行目は固定の見出しです。ここに案件を入力したり、行を削除したりしないでください。</t>
        </is>
      </c>
    </row>
    <row r="64">
      <c r="C64" s="29" t="inlineStr">
        <is>
          <t>・記入例の3行（備考に「※記入例」とある行）は、運用を始める前に削除して構いません。</t>
        </is>
      </c>
    </row>
    <row r="65" ht="36" customHeight="1">
      <c r="C65" s="29" t="inlineStr">
        <is>
          <t>・盗難の場合は 警察への届出 → 保険会社への連絡 → 社内の資産台帳の更新 を忘れずに。備考欄にチェック代わりに記入すると漏れを防げます。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2026-09-20T06:05:12Z</dcterms:created>
  <dcterms:modified xsi:type="dcterms:W3CDTF">2026-09-20T06:05:12Z</dcterms:modified>
</cp:coreProperties>
</file>