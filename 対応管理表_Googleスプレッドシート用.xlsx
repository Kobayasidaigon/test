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対応管理表" sheetId="1" state="visible" r:id="rId3"/>
    <sheet name="集計" sheetId="2" state="visible" r:id="rId4"/>
    <sheet name="マスタ" sheetId="3" state="visible" r:id="rId5"/>
    <sheet name="使い方" sheetId="4" state="visible" r:id="rId6"/>
  </sheets>
  <definedNames>
    <definedName function="false" hidden="false" localSheetId="0" name="_xlnm.Print_Titles" vbProcedure="false">対応管理表!$1:$1</definedName>
    <definedName function="false" hidden="true" localSheetId="0" name="_xlnm._FilterDatabase" vbProcedure="false">対応管理表!$A$1:$T$300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<sst xmlns="http://schemas.openxmlformats.org/spreadsheetml/2006/main" count="185" uniqueCount="139">
  <si>
    <r>
      <rPr>
        <b val="true"/>
        <sz val="10"/>
        <color rgb="FFFFFFFF"/>
        <rFont val="Arial"/>
        <family val="2"/>
      </rPr>
      <t xml:space="preserve">管理</t>
    </r>
    <r>
      <rPr>
        <b val="true"/>
        <sz val="10"/>
        <color rgb="FFFFFFFF"/>
        <rFont val="Arial"/>
        <family val="0"/>
        <charset val="1"/>
      </rPr>
      <t xml:space="preserve">No.</t>
    </r>
  </si>
  <si>
    <t xml:space="preserve">受付日</t>
  </si>
  <si>
    <t xml:space="preserve">発生日</t>
  </si>
  <si>
    <t xml:space="preserve">区分</t>
  </si>
  <si>
    <t xml:space="preserve">対象物（品名）</t>
  </si>
  <si>
    <t xml:space="preserve">資産番号
管理番号</t>
  </si>
  <si>
    <t xml:space="preserve">発生場所</t>
  </si>
  <si>
    <t xml:space="preserve">報告者
（部署・氏名）</t>
  </si>
  <si>
    <t xml:space="preserve">状況・詳細</t>
  </si>
  <si>
    <t xml:space="preserve">優先度</t>
  </si>
  <si>
    <t xml:space="preserve">対応担当者</t>
  </si>
  <si>
    <t xml:space="preserve">対応状況</t>
  </si>
  <si>
    <t xml:space="preserve">対応内容・経過</t>
  </si>
  <si>
    <t xml:space="preserve">対応期限</t>
  </si>
  <si>
    <t xml:space="preserve">完了日</t>
  </si>
  <si>
    <t xml:space="preserve">経過日数
（自動）</t>
  </si>
  <si>
    <t xml:space="preserve">期限判定
（自動）</t>
  </si>
  <si>
    <t xml:space="preserve">警察届出
（盗難・紛失時）</t>
  </si>
  <si>
    <t xml:space="preserve">費用（円）</t>
  </si>
  <si>
    <t xml:space="preserve">備考</t>
  </si>
  <si>
    <t xml:space="preserve">2026-001</t>
  </si>
  <si>
    <t xml:space="preserve">破損</t>
  </si>
  <si>
    <r>
      <rPr>
        <sz val="10"/>
        <rFont val="Arial"/>
        <family val="2"/>
      </rPr>
      <t xml:space="preserve">ノート</t>
    </r>
    <r>
      <rPr>
        <sz val="10"/>
        <rFont val="Arial"/>
        <family val="0"/>
        <charset val="1"/>
      </rPr>
      <t xml:space="preserve">PC</t>
    </r>
    <r>
      <rPr>
        <sz val="10"/>
        <rFont val="Arial"/>
        <family val="2"/>
      </rPr>
      <t xml:space="preserve">（営業部貸与）</t>
    </r>
  </si>
  <si>
    <t xml:space="preserve">PC-0123</t>
  </si>
  <si>
    <r>
      <rPr>
        <sz val="10"/>
        <rFont val="Arial"/>
        <family val="0"/>
        <charset val="1"/>
      </rPr>
      <t xml:space="preserve">3F </t>
    </r>
    <r>
      <rPr>
        <sz val="10"/>
        <rFont val="Arial"/>
        <family val="2"/>
      </rPr>
      <t xml:space="preserve">営業部フロア</t>
    </r>
  </si>
  <si>
    <t xml:space="preserve">営業部 田中</t>
  </si>
  <si>
    <t xml:space="preserve">移動中に落下し、液晶画面が割れて表示できない。データは無事。</t>
  </si>
  <si>
    <t xml:space="preserve">高</t>
  </si>
  <si>
    <t xml:space="preserve">総務 山田</t>
  </si>
  <si>
    <t xml:space="preserve">対応中</t>
  </si>
  <si>
    <r>
      <rPr>
        <sz val="10"/>
        <rFont val="Arial"/>
        <family val="0"/>
        <charset val="1"/>
      </rPr>
      <t xml:space="preserve">9/8 </t>
    </r>
    <r>
      <rPr>
        <sz val="10"/>
        <rFont val="Arial"/>
        <family val="2"/>
      </rPr>
      <t xml:space="preserve">メーカーへ修理見積依頼
</t>
    </r>
    <r>
      <rPr>
        <sz val="10"/>
        <rFont val="Arial"/>
        <family val="0"/>
        <charset val="1"/>
      </rPr>
      <t xml:space="preserve">9/11 </t>
    </r>
    <r>
      <rPr>
        <sz val="10"/>
        <rFont val="Arial"/>
        <family val="2"/>
      </rPr>
      <t xml:space="preserve">見積受領（</t>
    </r>
    <r>
      <rPr>
        <sz val="10"/>
        <rFont val="Arial"/>
        <family val="0"/>
        <charset val="1"/>
      </rPr>
      <t xml:space="preserve">45,000</t>
    </r>
    <r>
      <rPr>
        <sz val="10"/>
        <rFont val="Arial"/>
        <family val="2"/>
      </rPr>
      <t xml:space="preserve">円）、上長承認
</t>
    </r>
    <r>
      <rPr>
        <sz val="10"/>
        <rFont val="Arial"/>
        <family val="0"/>
        <charset val="1"/>
      </rPr>
      <t xml:space="preserve">9/14 </t>
    </r>
    <r>
      <rPr>
        <sz val="10"/>
        <rFont val="Arial"/>
        <family val="2"/>
      </rPr>
      <t xml:space="preserve">修理発注。納品予定が遅延中のため再確認</t>
    </r>
  </si>
  <si>
    <t xml:space="preserve">不要</t>
  </si>
  <si>
    <r>
      <rPr>
        <sz val="10"/>
        <rFont val="Arial"/>
        <family val="2"/>
      </rPr>
      <t xml:space="preserve">※記入例（削除して</t>
    </r>
    <r>
      <rPr>
        <sz val="10"/>
        <rFont val="Arial"/>
        <family val="0"/>
        <charset val="1"/>
      </rPr>
      <t xml:space="preserve">OK</t>
    </r>
    <r>
      <rPr>
        <sz val="10"/>
        <rFont val="Arial"/>
        <family val="2"/>
      </rPr>
      <t xml:space="preserve">）</t>
    </r>
  </si>
  <si>
    <t xml:space="preserve">2026-002</t>
  </si>
  <si>
    <t xml:space="preserve">盗難</t>
  </si>
  <si>
    <t xml:space="preserve">社用自転車</t>
  </si>
  <si>
    <t xml:space="preserve">BK-002</t>
  </si>
  <si>
    <t xml:space="preserve">本社 駐輪場</t>
  </si>
  <si>
    <t xml:space="preserve">総務部 鈴木</t>
  </si>
  <si>
    <t xml:space="preserve">夜間に施錠して駐輪、翌朝出社時になくなっていた。防犯カメラ確認中。</t>
  </si>
  <si>
    <t xml:space="preserve">中</t>
  </si>
  <si>
    <t xml:space="preserve">総務 佐藤</t>
  </si>
  <si>
    <t xml:space="preserve">未対応</t>
  </si>
  <si>
    <r>
      <rPr>
        <sz val="10"/>
        <rFont val="Arial"/>
        <family val="0"/>
        <charset val="1"/>
      </rPr>
      <t xml:space="preserve">9/18 </t>
    </r>
    <r>
      <rPr>
        <sz val="10"/>
        <rFont val="Arial"/>
        <family val="2"/>
      </rPr>
      <t xml:space="preserve">上長へ報告済。警察への被害届は未提出。</t>
    </r>
  </si>
  <si>
    <t xml:space="preserve">未</t>
  </si>
  <si>
    <t xml:space="preserve">2026-003</t>
  </si>
  <si>
    <t xml:space="preserve">故障</t>
  </si>
  <si>
    <r>
      <rPr>
        <sz val="10"/>
        <rFont val="Arial"/>
        <family val="2"/>
      </rPr>
      <t xml:space="preserve">複合機（</t>
    </r>
    <r>
      <rPr>
        <sz val="10"/>
        <rFont val="Arial"/>
        <family val="0"/>
        <charset val="1"/>
      </rPr>
      <t xml:space="preserve">2F </t>
    </r>
    <r>
      <rPr>
        <sz val="10"/>
        <rFont val="Arial"/>
        <family val="2"/>
      </rPr>
      <t xml:space="preserve">コピーコーナー）</t>
    </r>
  </si>
  <si>
    <t xml:space="preserve">MFP-02</t>
  </si>
  <si>
    <r>
      <rPr>
        <sz val="10"/>
        <rFont val="Arial"/>
        <family val="0"/>
        <charset val="1"/>
      </rPr>
      <t xml:space="preserve">2F </t>
    </r>
    <r>
      <rPr>
        <sz val="10"/>
        <rFont val="Arial"/>
        <family val="2"/>
      </rPr>
      <t xml:space="preserve">コピーコーナー</t>
    </r>
  </si>
  <si>
    <t xml:space="preserve">経理部 高橋</t>
  </si>
  <si>
    <t xml:space="preserve">紙詰まりが頻発し、エラー表示が消えない。</t>
  </si>
  <si>
    <t xml:space="preserve">完了</t>
  </si>
  <si>
    <r>
      <rPr>
        <sz val="10"/>
        <rFont val="Arial"/>
        <family val="0"/>
        <charset val="1"/>
      </rPr>
      <t xml:space="preserve">8/26 </t>
    </r>
    <r>
      <rPr>
        <sz val="10"/>
        <rFont val="Arial"/>
        <family val="2"/>
      </rPr>
      <t xml:space="preserve">保守業者へ連絡
</t>
    </r>
    <r>
      <rPr>
        <sz val="10"/>
        <rFont val="Arial"/>
        <family val="0"/>
        <charset val="1"/>
      </rPr>
      <t xml:space="preserve">8/28 </t>
    </r>
    <r>
      <rPr>
        <sz val="10"/>
        <rFont val="Arial"/>
        <family val="2"/>
      </rPr>
      <t xml:space="preserve">訪問修理（給紙ローラー交換）、動作確認済</t>
    </r>
  </si>
  <si>
    <r>
      <rPr>
        <sz val="10"/>
        <rFont val="Arial"/>
        <family val="2"/>
      </rPr>
      <t xml:space="preserve">※記入例（削除して</t>
    </r>
    <r>
      <rPr>
        <sz val="10"/>
        <rFont val="Arial"/>
        <family val="0"/>
        <charset val="1"/>
      </rPr>
      <t xml:space="preserve">OK</t>
    </r>
    <r>
      <rPr>
        <sz val="10"/>
        <rFont val="Arial"/>
        <family val="2"/>
      </rPr>
      <t xml:space="preserve">）保守契約内のため費用</t>
    </r>
    <r>
      <rPr>
        <sz val="10"/>
        <rFont val="Arial"/>
        <family val="0"/>
        <charset val="1"/>
      </rPr>
      <t xml:space="preserve">0</t>
    </r>
    <r>
      <rPr>
        <sz val="10"/>
        <rFont val="Arial"/>
        <family val="2"/>
      </rPr>
      <t xml:space="preserve">円</t>
    </r>
  </si>
  <si>
    <t xml:space="preserve">集計（自動計算・入力不要）</t>
  </si>
  <si>
    <r>
      <rPr>
        <sz val="9"/>
        <color rgb="FF595959"/>
        <rFont val="Arial"/>
        <family val="2"/>
      </rPr>
      <t xml:space="preserve">「対応管理表」シートの内容から自動で集計されます。集計日</t>
    </r>
    <r>
      <rPr>
        <sz val="9"/>
        <color rgb="FF595959"/>
        <rFont val="Arial"/>
        <family val="0"/>
        <charset val="1"/>
      </rPr>
      <t xml:space="preserve">:</t>
    </r>
  </si>
  <si>
    <t xml:space="preserve">■ 対応状況別の件数</t>
  </si>
  <si>
    <r>
      <rPr>
        <b val="true"/>
        <sz val="11"/>
        <rFont val="Arial"/>
        <family val="2"/>
      </rPr>
      <t xml:space="preserve">■ 区分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Arial"/>
        <family val="2"/>
      </rPr>
      <t xml:space="preserve">対応状況</t>
    </r>
  </si>
  <si>
    <t xml:space="preserve">件数</t>
  </si>
  <si>
    <t xml:space="preserve">保留</t>
  </si>
  <si>
    <t xml:space="preserve">合計</t>
  </si>
  <si>
    <t xml:space="preserve">費用合計（円）</t>
  </si>
  <si>
    <t xml:space="preserve">紛失</t>
  </si>
  <si>
    <t xml:space="preserve">その他</t>
  </si>
  <si>
    <t xml:space="preserve">未完了（未対応＋対応中＋保留）</t>
  </si>
  <si>
    <t xml:space="preserve">■ 期限・その他</t>
  </si>
  <si>
    <t xml:space="preserve">項目</t>
  </si>
  <si>
    <t xml:space="preserve">値</t>
  </si>
  <si>
    <t xml:space="preserve">期限超過（未完了）</t>
  </si>
  <si>
    <r>
      <rPr>
        <sz val="10"/>
        <rFont val="Arial"/>
        <family val="2"/>
      </rPr>
      <t xml:space="preserve">期限間近（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日以内）</t>
    </r>
  </si>
  <si>
    <t xml:space="preserve">今月の受付件数</t>
  </si>
  <si>
    <t xml:space="preserve">警察届出</t>
  </si>
  <si>
    <t xml:space="preserve">担当者</t>
  </si>
  <si>
    <t xml:space="preserve">■ このシートの使い方</t>
  </si>
  <si>
    <t xml:space="preserve">各列の選択肢が「対応管理表」シートのプルダウンに表示されます。</t>
  </si>
  <si>
    <r>
      <rPr>
        <sz val="10"/>
        <rFont val="Arial"/>
        <family val="2"/>
      </rPr>
      <t xml:space="preserve">担当者（</t>
    </r>
    <r>
      <rPr>
        <sz val="10"/>
        <rFont val="Arial"/>
        <family val="0"/>
        <charset val="1"/>
      </rPr>
      <t xml:space="preserve">E</t>
    </r>
    <r>
      <rPr>
        <sz val="10"/>
        <rFont val="Arial"/>
        <family val="2"/>
      </rPr>
      <t xml:space="preserve">列）は自社の担当者名に書き換えてください（</t>
    </r>
    <r>
      <rPr>
        <sz val="10"/>
        <rFont val="Arial"/>
        <family val="0"/>
        <charset val="1"/>
      </rPr>
      <t xml:space="preserve">20</t>
    </r>
    <r>
      <rPr>
        <sz val="10"/>
        <rFont val="Arial"/>
        <family val="2"/>
      </rPr>
      <t xml:space="preserve">名まで登録可）。</t>
    </r>
  </si>
  <si>
    <t xml:space="preserve">低</t>
  </si>
  <si>
    <t xml:space="preserve">済</t>
  </si>
  <si>
    <t xml:space="preserve">総務 鈴木</t>
  </si>
  <si>
    <t xml:space="preserve">区分・対応状況の選択肢を変える場合は、「集計」シートの項目名も合わせて変更してください。</t>
  </si>
  <si>
    <t xml:space="preserve">対応管理表の使い方</t>
  </si>
  <si>
    <t xml:space="preserve">備品・設備が壊れた／盗まれた／なくなった時に、「今どこまで対応が進んでいるか」を一覧で管理するための台帳です。</t>
  </si>
  <si>
    <r>
      <rPr>
        <b val="true"/>
        <sz val="12"/>
        <color rgb="FF1F4E79"/>
        <rFont val="Arial"/>
        <family val="0"/>
        <charset val="1"/>
      </rPr>
      <t xml:space="preserve">0. Google </t>
    </r>
    <r>
      <rPr>
        <b val="true"/>
        <sz val="12"/>
        <color rgb="FF1F4E79"/>
        <rFont val="Arial"/>
        <family val="2"/>
      </rPr>
      <t xml:space="preserve">スプレッドシートへの取り込み（最初に</t>
    </r>
    <r>
      <rPr>
        <b val="true"/>
        <sz val="12"/>
        <color rgb="FF1F4E79"/>
        <rFont val="Arial"/>
        <family val="0"/>
        <charset val="1"/>
      </rPr>
      <t xml:space="preserve">1</t>
    </r>
    <r>
      <rPr>
        <b val="true"/>
        <sz val="12"/>
        <color rgb="FF1F4E79"/>
        <rFont val="Arial"/>
        <family val="2"/>
      </rPr>
      <t xml:space="preserve">回だけ）</t>
    </r>
  </si>
  <si>
    <r>
      <rPr>
        <sz val="10"/>
        <rFont val="Arial"/>
        <family val="0"/>
        <charset val="1"/>
      </rPr>
      <t xml:space="preserve">① drive.google.com </t>
    </r>
    <r>
      <rPr>
        <sz val="10"/>
        <rFont val="Arial"/>
        <family val="2"/>
      </rPr>
      <t xml:space="preserve">を開き、このファイルをブラウザ画面にドラッグ＆ドロップする（または「新規」＞「ファイルのアップロード」）。</t>
    </r>
  </si>
  <si>
    <r>
      <rPr>
        <sz val="10"/>
        <rFont val="Arial"/>
        <family val="2"/>
      </rPr>
      <t xml:space="preserve">② アップロードされたファイルを右クリック ＞ アプリで開く ＞ </t>
    </r>
    <r>
      <rPr>
        <sz val="10"/>
        <rFont val="Arial"/>
        <family val="0"/>
        <charset val="1"/>
      </rPr>
      <t xml:space="preserve">Google </t>
    </r>
    <r>
      <rPr>
        <sz val="10"/>
        <rFont val="Arial"/>
        <family val="2"/>
      </rPr>
      <t xml:space="preserve">スプレッドシート。</t>
    </r>
  </si>
  <si>
    <r>
      <rPr>
        <sz val="10"/>
        <rFont val="Arial"/>
        <family val="2"/>
      </rPr>
      <t xml:space="preserve">③ 開いたら ファイル ＞ </t>
    </r>
    <r>
      <rPr>
        <sz val="10"/>
        <rFont val="Arial"/>
        <family val="0"/>
        <charset val="1"/>
      </rPr>
      <t xml:space="preserve">Google </t>
    </r>
    <r>
      <rPr>
        <sz val="10"/>
        <rFont val="Arial"/>
        <family val="2"/>
      </rPr>
      <t xml:space="preserve">スプレッドシートとして保存 を実行する（以降はこちらを使います）。</t>
    </r>
  </si>
  <si>
    <r>
      <rPr>
        <sz val="10"/>
        <rFont val="Arial"/>
        <family val="2"/>
      </rPr>
      <t xml:space="preserve">④ 元のアップロードファイル（</t>
    </r>
    <r>
      <rPr>
        <sz val="10"/>
        <rFont val="Arial"/>
        <family val="0"/>
        <charset val="1"/>
      </rPr>
      <t xml:space="preserve">.xlsx</t>
    </r>
    <r>
      <rPr>
        <sz val="10"/>
        <rFont val="Arial"/>
        <family val="2"/>
      </rPr>
      <t xml:space="preserve">）は不要になるので削除して構いません。</t>
    </r>
  </si>
  <si>
    <t xml:space="preserve">※ プルダウン・色分け・自動計算はそのまま引き継がれます。</t>
  </si>
  <si>
    <r>
      <rPr>
        <b val="true"/>
        <sz val="12"/>
        <color rgb="FF1F4E79"/>
        <rFont val="Arial"/>
        <family val="0"/>
        <charset val="1"/>
      </rPr>
      <t xml:space="preserve">1. </t>
    </r>
    <r>
      <rPr>
        <b val="true"/>
        <sz val="12"/>
        <color rgb="FF1F4E79"/>
        <rFont val="Arial"/>
        <family val="2"/>
      </rPr>
      <t xml:space="preserve">基本の流れ</t>
    </r>
  </si>
  <si>
    <r>
      <rPr>
        <sz val="10"/>
        <rFont val="Arial"/>
        <family val="2"/>
      </rPr>
      <t xml:space="preserve">① 報告を受けたら「対応管理表」シートの一番下の空き行に</t>
    </r>
    <r>
      <rPr>
        <sz val="10"/>
        <rFont val="Arial"/>
        <family val="0"/>
        <charset val="1"/>
      </rPr>
      <t xml:space="preserve">1</t>
    </r>
    <r>
      <rPr>
        <sz val="10"/>
        <rFont val="Arial"/>
        <family val="2"/>
      </rPr>
      <t xml:space="preserve">件</t>
    </r>
    <r>
      <rPr>
        <sz val="10"/>
        <rFont val="Arial"/>
        <family val="0"/>
        <charset val="1"/>
      </rPr>
      <t xml:space="preserve">1</t>
    </r>
    <r>
      <rPr>
        <sz val="10"/>
        <rFont val="Arial"/>
        <family val="2"/>
      </rPr>
      <t xml:space="preserve">行で登録する（管理</t>
    </r>
    <r>
      <rPr>
        <sz val="10"/>
        <rFont val="Arial"/>
        <family val="0"/>
        <charset val="1"/>
      </rPr>
      <t xml:space="preserve">No.</t>
    </r>
    <r>
      <rPr>
        <sz val="10"/>
        <rFont val="Arial"/>
        <family val="2"/>
      </rPr>
      <t xml:space="preserve">・受付日・区分・対象物・報告者・状況）。</t>
    </r>
  </si>
  <si>
    <t xml:space="preserve">② 対応担当者と対応期限を決め、対応状況を「未対応」→「対応中」に変える。</t>
  </si>
  <si>
    <r>
      <rPr>
        <sz val="10"/>
        <rFont val="Arial"/>
        <family val="2"/>
      </rPr>
      <t xml:space="preserve">③ 業者連絡や見積などの動きがあるたびに「対応内容・経過」に日付付きで追記する（セル内改行は </t>
    </r>
    <r>
      <rPr>
        <sz val="10"/>
        <rFont val="Arial"/>
        <family val="0"/>
        <charset val="1"/>
      </rPr>
      <t xml:space="preserve">Ctrl+Enter</t>
    </r>
    <r>
      <rPr>
        <sz val="10"/>
        <rFont val="Arial"/>
        <family val="2"/>
      </rPr>
      <t xml:space="preserve">）。</t>
    </r>
  </si>
  <si>
    <t xml:space="preserve">④ 対応が終わったら対応状況を「完了」にし、完了日と費用を記入する。</t>
  </si>
  <si>
    <t xml:space="preserve">⑤ 朝礼・定例などでは「集計」シートで未完了件数と期限超過件数を確認する。</t>
  </si>
  <si>
    <r>
      <rPr>
        <b val="true"/>
        <sz val="12"/>
        <color rgb="FF1F4E79"/>
        <rFont val="Arial"/>
        <family val="0"/>
        <charset val="1"/>
      </rPr>
      <t xml:space="preserve">2. </t>
    </r>
    <r>
      <rPr>
        <b val="true"/>
        <sz val="12"/>
        <color rgb="FF1F4E79"/>
        <rFont val="Arial"/>
        <family val="2"/>
      </rPr>
      <t xml:space="preserve">色の意味（自動で色が付きます）</t>
    </r>
  </si>
  <si>
    <t xml:space="preserve">未対応＝赤、対応中＝黄、保留＝灰、完了＝緑。完了した行は文字が灰色になります。</t>
  </si>
  <si>
    <t xml:space="preserve">期限判定</t>
  </si>
  <si>
    <r>
      <rPr>
        <sz val="10"/>
        <rFont val="Arial"/>
        <family val="2"/>
      </rPr>
      <t xml:space="preserve">対応期限を過ぎた未完了案件は「超過」（赤）となり行全体が薄い赤に、期限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日前からは「間近」（橙）になります。</t>
    </r>
  </si>
  <si>
    <t xml:space="preserve">灰色の列</t>
  </si>
  <si>
    <t xml:space="preserve">「経過日数」「期限判定」は自動計算です。入力しないでください。</t>
  </si>
  <si>
    <r>
      <rPr>
        <b val="true"/>
        <sz val="12"/>
        <color rgb="FF1F4E79"/>
        <rFont val="Arial"/>
        <family val="0"/>
        <charset val="1"/>
      </rPr>
      <t xml:space="preserve">3. </t>
    </r>
    <r>
      <rPr>
        <b val="true"/>
        <sz val="12"/>
        <color rgb="FF1F4E79"/>
        <rFont val="Arial"/>
        <family val="2"/>
      </rPr>
      <t xml:space="preserve">各列の説明</t>
    </r>
  </si>
  <si>
    <r>
      <rPr>
        <b val="true"/>
        <sz val="10"/>
        <rFont val="Arial"/>
        <family val="2"/>
      </rPr>
      <t xml:space="preserve">管理</t>
    </r>
    <r>
      <rPr>
        <b val="true"/>
        <sz val="10"/>
        <rFont val="Arial"/>
        <family val="0"/>
        <charset val="1"/>
      </rPr>
      <t xml:space="preserve">No.</t>
    </r>
  </si>
  <si>
    <r>
      <rPr>
        <sz val="10"/>
        <rFont val="Arial"/>
        <family val="2"/>
      </rPr>
      <t xml:space="preserve">案件の通し番号。「</t>
    </r>
    <r>
      <rPr>
        <sz val="10"/>
        <rFont val="Arial"/>
        <family val="0"/>
        <charset val="1"/>
      </rPr>
      <t xml:space="preserve">2026-001</t>
    </r>
    <r>
      <rPr>
        <sz val="10"/>
        <rFont val="Arial"/>
        <family val="2"/>
      </rPr>
      <t xml:space="preserve">」のように 年</t>
    </r>
    <r>
      <rPr>
        <sz val="10"/>
        <rFont val="Arial"/>
        <family val="0"/>
        <charset val="1"/>
      </rPr>
      <t xml:space="preserve">-</t>
    </r>
    <r>
      <rPr>
        <sz val="10"/>
        <rFont val="Arial"/>
        <family val="2"/>
      </rPr>
      <t xml:space="preserve">連番 で付けると探しやすいです（手入力）。</t>
    </r>
  </si>
  <si>
    <r>
      <rPr>
        <b val="true"/>
        <sz val="10"/>
        <rFont val="Arial"/>
        <family val="2"/>
      </rPr>
      <t xml:space="preserve">受付日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Arial"/>
        <family val="2"/>
      </rPr>
      <t xml:space="preserve">発生日</t>
    </r>
  </si>
  <si>
    <t xml:space="preserve">受付日＝報告を受けた日、発生日＝実際に壊れた・盗まれた日。</t>
  </si>
  <si>
    <t xml:space="preserve">破損・故障・盗難・紛失・その他 から選択。</t>
  </si>
  <si>
    <r>
      <rPr>
        <b val="true"/>
        <sz val="10"/>
        <rFont val="Arial"/>
        <family val="2"/>
      </rPr>
      <t xml:space="preserve">対象物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Arial"/>
        <family val="2"/>
      </rPr>
      <t xml:space="preserve">資産番号</t>
    </r>
  </si>
  <si>
    <t xml:space="preserve">何が対象か。備品シールや資産台帳の番号があれば資産番号に記入。</t>
  </si>
  <si>
    <r>
      <rPr>
        <b val="true"/>
        <sz val="10"/>
        <rFont val="Arial"/>
        <family val="2"/>
      </rPr>
      <t xml:space="preserve">発生場所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Arial"/>
        <family val="2"/>
      </rPr>
      <t xml:space="preserve">報告者</t>
    </r>
  </si>
  <si>
    <t xml:space="preserve">どこで起きたか、誰からの報告か（部署と氏名）。</t>
  </si>
  <si>
    <t xml:space="preserve">報告時点でわかっている事実を記入。原因の推測と事実は分けて書くと後で役立ちます。</t>
  </si>
  <si>
    <t xml:space="preserve">高＝業務停止・安全に関わる、中＝業務に支障あり、低＝急がない。</t>
  </si>
  <si>
    <t xml:space="preserve">「マスタ」シートの担当者リストから選択（リストにない名前も直接入力できます）。</t>
  </si>
  <si>
    <t xml:space="preserve">未対応・対応中・保留・完了 から選択。保留＝先方待ち・予算待ちなど自分では動けない状態。</t>
  </si>
  <si>
    <r>
      <rPr>
        <sz val="10"/>
        <rFont val="Arial"/>
        <family val="2"/>
      </rPr>
      <t xml:space="preserve">「</t>
    </r>
    <r>
      <rPr>
        <sz val="10"/>
        <rFont val="Arial"/>
        <family val="0"/>
        <charset val="1"/>
      </rPr>
      <t xml:space="preserve">9/5 </t>
    </r>
    <r>
      <rPr>
        <sz val="10"/>
        <rFont val="Arial"/>
        <family val="2"/>
      </rPr>
      <t xml:space="preserve">見積受領」のように日付付きで時系列に追記。最新の状況が上か下か、部署内でルールを決めてください。</t>
    </r>
  </si>
  <si>
    <r>
      <rPr>
        <b val="true"/>
        <sz val="10"/>
        <rFont val="Arial"/>
        <family val="2"/>
      </rPr>
      <t xml:space="preserve">対応期限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Arial"/>
        <family val="2"/>
      </rPr>
      <t xml:space="preserve">完了日</t>
    </r>
  </si>
  <si>
    <t xml:space="preserve">いつまでに対応するか／実際に完了した日。完了日を入れると経過日数が確定します。</t>
  </si>
  <si>
    <t xml:space="preserve">盗難・紛失の場合は必ず記入（不要・未・済）。被害届の受理番号は備考へ。</t>
  </si>
  <si>
    <t xml:space="preserve">修理費・買替費など。見積段階でも見込額を入れておくと集計に反映されます。</t>
  </si>
  <si>
    <r>
      <rPr>
        <b val="true"/>
        <sz val="12"/>
        <color rgb="FF1F4E79"/>
        <rFont val="Arial"/>
        <family val="0"/>
        <charset val="1"/>
      </rPr>
      <t xml:space="preserve">4. </t>
    </r>
    <r>
      <rPr>
        <b val="true"/>
        <sz val="12"/>
        <color rgb="FF1F4E79"/>
        <rFont val="Arial"/>
        <family val="2"/>
      </rPr>
      <t xml:space="preserve">複数人で使うときのコツ（スプレッドシートならでは）</t>
    </r>
  </si>
  <si>
    <t xml:space="preserve">共有</t>
  </si>
  <si>
    <t xml:space="preserve">右上の「共有」から同僚を追加します。編集してほしい人は「編集者」、見るだけの人は「閲覧者」にします。</t>
  </si>
  <si>
    <t xml:space="preserve">同時編集</t>
  </si>
  <si>
    <t xml:space="preserve">全員が同時に開いて編集できます。編集中のセルには相手の色枠と名前が出るので、同じ行を触らないようにしてください。</t>
  </si>
  <si>
    <t xml:space="preserve">フィルタ表示</t>
  </si>
  <si>
    <t xml:space="preserve">データ ＞ フィルタ表示 ＞ 新しいフィルタ表示を作成 を使うと、自分の画面だけで絞り込めます。通常のフィルタは全員の画面に影響します。</t>
  </si>
  <si>
    <t xml:space="preserve">担当者への通知</t>
  </si>
  <si>
    <r>
      <rPr>
        <sz val="10"/>
        <rFont val="Arial"/>
        <family val="2"/>
      </rPr>
      <t xml:space="preserve">セルを右クリック ＞ コメント で「</t>
    </r>
    <r>
      <rPr>
        <sz val="10"/>
        <rFont val="Arial"/>
        <family val="0"/>
        <charset val="1"/>
      </rPr>
      <t xml:space="preserve">@</t>
    </r>
    <r>
      <rPr>
        <sz val="10"/>
        <rFont val="Arial"/>
        <family val="2"/>
      </rPr>
      <t xml:space="preserve">メールアドレス」と書くと、担当者にメールで通知が届きます。依頼や催促に便利です。</t>
    </r>
  </si>
  <si>
    <t xml:space="preserve">変更履歴</t>
  </si>
  <si>
    <t xml:space="preserve">ファイル ＞ 変更履歴 ＞ 変更履歴を表示 で、誰がいつ何を書き換えたか確認できます。消してしまった内容も戻せます。</t>
  </si>
  <si>
    <t xml:space="preserve">スマホ</t>
  </si>
  <si>
    <r>
      <rPr>
        <sz val="10"/>
        <rFont val="Arial"/>
        <family val="0"/>
        <charset val="1"/>
      </rPr>
      <t xml:space="preserve">Google </t>
    </r>
    <r>
      <rPr>
        <sz val="10"/>
        <rFont val="Arial"/>
        <family val="2"/>
      </rPr>
      <t xml:space="preserve">スプレッドシートのアプリを入れておくと、現場で写真を撮った直後にスマホから登録できます。</t>
    </r>
  </si>
  <si>
    <r>
      <rPr>
        <b val="true"/>
        <sz val="12"/>
        <color rgb="FF1F4E79"/>
        <rFont val="Arial"/>
        <family val="0"/>
        <charset val="1"/>
      </rPr>
      <t xml:space="preserve">5. </t>
    </r>
    <r>
      <rPr>
        <b val="true"/>
        <sz val="12"/>
        <color rgb="FF1F4E79"/>
        <rFont val="Arial"/>
        <family val="2"/>
      </rPr>
      <t xml:space="preserve">注意点</t>
    </r>
  </si>
  <si>
    <r>
      <rPr>
        <sz val="10"/>
        <rFont val="Arial"/>
        <family val="2"/>
      </rPr>
      <t xml:space="preserve">・行を追加するときは、書式付きの行（</t>
    </r>
    <r>
      <rPr>
        <sz val="10"/>
        <rFont val="Arial"/>
        <family val="0"/>
        <charset val="1"/>
      </rPr>
      <t xml:space="preserve">300</t>
    </r>
    <r>
      <rPr>
        <sz val="10"/>
        <rFont val="Arial"/>
        <family val="2"/>
      </rPr>
      <t xml:space="preserve">行目まで用意済み）に続けて入力してください。それ以上になる場合は最終行をコピーして下に貼り付けてください。</t>
    </r>
  </si>
  <si>
    <r>
      <rPr>
        <sz val="10"/>
        <rFont val="Arial"/>
        <family val="2"/>
      </rPr>
      <t xml:space="preserve">・並べ替え・フィルターは</t>
    </r>
    <r>
      <rPr>
        <sz val="10"/>
        <rFont val="Arial"/>
        <family val="0"/>
        <charset val="1"/>
      </rPr>
      <t xml:space="preserve">1</t>
    </r>
    <r>
      <rPr>
        <sz val="10"/>
        <rFont val="Arial"/>
        <family val="2"/>
      </rPr>
      <t xml:space="preserve">行目の▼ボタンから使えます。「対応状況」で「未対応」「対応中」だけ表示すると、今やるべき案件だけを確認できます。</t>
    </r>
  </si>
  <si>
    <t xml:space="preserve">・プルダウンの選択肢や担当者名は「マスタ」シートで変更できます。区分・対応状況の名前を変えた場合は「集計」シートの項目名も揃えてください。</t>
  </si>
  <si>
    <r>
      <rPr>
        <sz val="10"/>
        <rFont val="Arial"/>
        <family val="2"/>
      </rPr>
      <t xml:space="preserve">・記入例の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行（備考に「※記入例」とある行）は、実際の運用を始める前に削除して構いません。</t>
    </r>
  </si>
  <si>
    <t xml:space="preserve">・盗難の場合は 警察への届出 → 保険会社への連絡 → 社内の資産台帳の更新 を忘れずに。備考欄にチェック代わりに記入すると漏れを防げます。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</si>
</sst>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/mm/dd"/>
    <numFmt numFmtId="167" formatCode="0"/>
    <numFmt numFmtId="168" formatCode="#,##0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4E79"/>
      <name val="Arial"/>
      <family val="2"/>
    </font>
    <font>
      <sz val="9"/>
      <color rgb="FF595959"/>
      <name val="Arial"/>
      <family val="2"/>
    </font>
    <font>
      <sz val="9"/>
      <color rgb="FF595959"/>
      <name val="Arial"/>
      <family val="0"/>
      <charset val="1"/>
    </font>
    <font>
      <b val="true"/>
      <sz val="11"/>
      <name val="Arial"/>
      <family val="2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</font>
    <font>
      <b val="true"/>
      <sz val="10"/>
      <color rgb="FFC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F7F7F"/>
        <bgColor rgb="FF808080"/>
      </patternFill>
    </fill>
    <fill>
      <patternFill patternType="solid">
        <fgColor rgb="FFF2F2F2"/>
        <bgColor rgb="FFFDE9E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404040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843C0C"/>
        <sz val="10"/>
      </font>
      <fill>
        <patternFill>
          <bgColor rgb="FFF4B183"/>
        </patternFill>
      </fill>
    </dxf>
    <dxf>
      <fill>
        <patternFill>
          <bgColor rgb="FFFDE9E7"/>
        </patternFill>
      </fill>
    </dxf>
    <dxf>
      <font>
        <name val="Arial"/>
        <charset val="1"/>
        <family val="0"/>
        <color rgb="FF80808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7"/>
      <rgbColor rgb="FFC6EFCE"/>
      <rgbColor rgb="FFFFEB9C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339966"/>
      <rgbColor rgb="FF003300"/>
      <rgbColor rgb="FF333300"/>
      <rgbColor rgb="FF843C0C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36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40"/>
    <col collapsed="false" customWidth="true" hidden="false" outlineLevel="0" max="15" min="14" style="0" width="11"/>
    <col collapsed="false" customWidth="true" hidden="false" outlineLevel="0" max="17" min="16" style="0" width="9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2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customFormat="false" ht="39.55" hidden="false" customHeight="false" outlineLevel="0" collapsed="false">
      <c r="A2" s="3" t="s">
        <v>20</v>
      </c>
      <c r="B2" s="4" t="n">
        <v>46273</v>
      </c>
      <c r="C2" s="4" t="n">
        <v>46272</v>
      </c>
      <c r="D2" s="5" t="s">
        <v>21</v>
      </c>
      <c r="E2" s="6" t="s">
        <v>22</v>
      </c>
      <c r="F2" s="7" t="s">
        <v>23</v>
      </c>
      <c r="G2" s="7" t="s">
        <v>24</v>
      </c>
      <c r="H2" s="6" t="s">
        <v>25</v>
      </c>
      <c r="I2" s="6" t="s">
        <v>26</v>
      </c>
      <c r="J2" s="5" t="s">
        <v>27</v>
      </c>
      <c r="K2" s="5" t="s">
        <v>28</v>
      </c>
      <c r="L2" s="5" t="s">
        <v>29</v>
      </c>
      <c r="M2" s="7" t="s">
        <v>30</v>
      </c>
      <c r="N2" s="4" t="n">
        <v>46283</v>
      </c>
      <c r="O2" s="4"/>
      <c r="P2" s="8" t="n">
        <f aca="true">IF(B2="","",IF(O2&lt;&gt;"",O2-B2,TODAY()-B2))</f>
        <v>12</v>
      </c>
      <c r="Q2" s="9" t="str">
        <f aca="true">IF(OR(N2="",L2="完了"),"",IF(TODAY()&gt;N2,"超過",IF(TODAY()+3&gt;=N2,"間近","")))</f>
        <v>超過</v>
      </c>
      <c r="R2" s="5" t="s">
        <v>31</v>
      </c>
      <c r="S2" s="10" t="n">
        <v>45000</v>
      </c>
      <c r="T2" s="6" t="s">
        <v>32</v>
      </c>
    </row>
    <row r="3" customFormat="false" ht="26.85" hidden="false" customHeight="false" outlineLevel="0" collapsed="false">
      <c r="A3" s="3" t="s">
        <v>33</v>
      </c>
      <c r="B3" s="4" t="n">
        <v>46283</v>
      </c>
      <c r="C3" s="4" t="n">
        <v>46282</v>
      </c>
      <c r="D3" s="5" t="s">
        <v>34</v>
      </c>
      <c r="E3" s="6" t="s">
        <v>35</v>
      </c>
      <c r="F3" s="7" t="s">
        <v>36</v>
      </c>
      <c r="G3" s="6" t="s">
        <v>37</v>
      </c>
      <c r="H3" s="6" t="s">
        <v>38</v>
      </c>
      <c r="I3" s="6" t="s">
        <v>39</v>
      </c>
      <c r="J3" s="5" t="s">
        <v>40</v>
      </c>
      <c r="K3" s="5" t="s">
        <v>41</v>
      </c>
      <c r="L3" s="5" t="s">
        <v>42</v>
      </c>
      <c r="M3" s="7" t="s">
        <v>43</v>
      </c>
      <c r="N3" s="4" t="n">
        <v>46287</v>
      </c>
      <c r="O3" s="4"/>
      <c r="P3" s="8" t="n">
        <f aca="true">IF(B3="","",IF(O3&lt;&gt;"",O3-B3,TODAY()-B3))</f>
        <v>2</v>
      </c>
      <c r="Q3" s="9" t="str">
        <f aca="true">IF(OR(N3="",L3="完了"),"",IF(TODAY()&gt;N3,"超過",IF(TODAY()+3&gt;=N3,"間近","")))</f>
        <v>間近</v>
      </c>
      <c r="R3" s="5" t="s">
        <v>44</v>
      </c>
      <c r="S3" s="10"/>
      <c r="T3" s="6" t="s">
        <v>32</v>
      </c>
    </row>
    <row r="4" customFormat="false" ht="26.85" hidden="false" customHeight="false" outlineLevel="0" collapsed="false">
      <c r="A4" s="3" t="s">
        <v>45</v>
      </c>
      <c r="B4" s="4" t="n">
        <v>46260</v>
      </c>
      <c r="C4" s="4" t="n">
        <v>46260</v>
      </c>
      <c r="D4" s="5" t="s">
        <v>46</v>
      </c>
      <c r="E4" s="6" t="s">
        <v>47</v>
      </c>
      <c r="F4" s="7" t="s">
        <v>48</v>
      </c>
      <c r="G4" s="7" t="s">
        <v>49</v>
      </c>
      <c r="H4" s="6" t="s">
        <v>50</v>
      </c>
      <c r="I4" s="6" t="s">
        <v>51</v>
      </c>
      <c r="J4" s="5" t="s">
        <v>40</v>
      </c>
      <c r="K4" s="5" t="s">
        <v>28</v>
      </c>
      <c r="L4" s="5" t="s">
        <v>52</v>
      </c>
      <c r="M4" s="7" t="s">
        <v>53</v>
      </c>
      <c r="N4" s="4" t="n">
        <v>46267</v>
      </c>
      <c r="O4" s="4" t="n">
        <v>46262</v>
      </c>
      <c r="P4" s="8" t="n">
        <f aca="true">IF(B4="","",IF(O4&lt;&gt;"",O4-B4,TODAY()-B4))</f>
        <v>2</v>
      </c>
      <c r="Q4" s="9" t="str">
        <f aca="true">IF(OR(N4="",L4="完了"),"",IF(TODAY()&gt;N4,"超過",IF(TODAY()+3&gt;=N4,"間近","")))</f>
        <v/>
      </c>
      <c r="R4" s="5" t="s">
        <v>31</v>
      </c>
      <c r="S4" s="10" t="n">
        <v>0</v>
      </c>
      <c r="T4" s="6" t="s">
        <v>54</v>
      </c>
    </row>
    <row r="5" customFormat="false" ht="15" hidden="false" customHeight="false" outlineLevel="0" collapsed="false">
      <c r="A5" s="3"/>
      <c r="B5" s="4"/>
      <c r="C5" s="4"/>
      <c r="D5" s="5"/>
      <c r="E5" s="7"/>
      <c r="F5" s="7"/>
      <c r="G5" s="7"/>
      <c r="H5" s="7"/>
      <c r="I5" s="7"/>
      <c r="J5" s="5"/>
      <c r="K5" s="5"/>
      <c r="L5" s="5"/>
      <c r="M5" s="7"/>
      <c r="N5" s="4"/>
      <c r="O5" s="4"/>
      <c r="P5" s="8" t="str">
        <f aca="true">IF(B5="","",IF(O5&lt;&gt;"",O5-B5,TODAY()-B5))</f>
        <v/>
      </c>
      <c r="Q5" s="9" t="str">
        <f aca="true">IF(OR(N5="",L5="完了"),"",IF(TODAY()&gt;N5,"超過",IF(TODAY()+3&gt;=N5,"間近","")))</f>
        <v/>
      </c>
      <c r="R5" s="5"/>
      <c r="S5" s="10"/>
      <c r="T5" s="7"/>
    </row>
    <row r="6" customFormat="false" ht="15" hidden="false" customHeight="false" outlineLevel="0" collapsed="false">
      <c r="A6" s="3"/>
      <c r="B6" s="4"/>
      <c r="C6" s="4"/>
      <c r="D6" s="5"/>
      <c r="E6" s="7"/>
      <c r="F6" s="7"/>
      <c r="G6" s="7"/>
      <c r="H6" s="7"/>
      <c r="I6" s="7"/>
      <c r="J6" s="5"/>
      <c r="K6" s="5"/>
      <c r="L6" s="5"/>
      <c r="M6" s="7"/>
      <c r="N6" s="4"/>
      <c r="O6" s="4"/>
      <c r="P6" s="8" t="str">
        <f aca="true">IF(B6="","",IF(O6&lt;&gt;"",O6-B6,TODAY()-B6))</f>
        <v/>
      </c>
      <c r="Q6" s="9" t="str">
        <f aca="true">IF(OR(N6="",L6="完了"),"",IF(TODAY()&gt;N6,"超過",IF(TODAY()+3&gt;=N6,"間近","")))</f>
        <v/>
      </c>
      <c r="R6" s="5"/>
      <c r="S6" s="10"/>
      <c r="T6" s="7"/>
    </row>
    <row r="7" customFormat="false" ht="15" hidden="false" customHeight="false" outlineLevel="0" collapsed="false">
      <c r="A7" s="3"/>
      <c r="B7" s="4"/>
      <c r="C7" s="4"/>
      <c r="D7" s="5"/>
      <c r="E7" s="7"/>
      <c r="F7" s="7"/>
      <c r="G7" s="7"/>
      <c r="H7" s="7"/>
      <c r="I7" s="7"/>
      <c r="J7" s="5"/>
      <c r="K7" s="5"/>
      <c r="L7" s="5"/>
      <c r="M7" s="7"/>
      <c r="N7" s="4"/>
      <c r="O7" s="4"/>
      <c r="P7" s="8" t="str">
        <f aca="true">IF(B7="","",IF(O7&lt;&gt;"",O7-B7,TODAY()-B7))</f>
        <v/>
      </c>
      <c r="Q7" s="9" t="str">
        <f aca="true">IF(OR(N7="",L7="完了"),"",IF(TODAY()&gt;N7,"超過",IF(TODAY()+3&gt;=N7,"間近","")))</f>
        <v/>
      </c>
      <c r="R7" s="5"/>
      <c r="S7" s="10"/>
      <c r="T7" s="7"/>
    </row>
    <row r="8" customFormat="false" ht="15" hidden="false" customHeight="false" outlineLevel="0" collapsed="false">
      <c r="A8" s="3"/>
      <c r="B8" s="4"/>
      <c r="C8" s="4"/>
      <c r="D8" s="5"/>
      <c r="E8" s="7"/>
      <c r="F8" s="7"/>
      <c r="G8" s="7"/>
      <c r="H8" s="7"/>
      <c r="I8" s="7"/>
      <c r="J8" s="5"/>
      <c r="K8" s="5"/>
      <c r="L8" s="5"/>
      <c r="M8" s="7"/>
      <c r="N8" s="4"/>
      <c r="O8" s="4"/>
      <c r="P8" s="8" t="str">
        <f aca="true">IF(B8="","",IF(O8&lt;&gt;"",O8-B8,TODAY()-B8))</f>
        <v/>
      </c>
      <c r="Q8" s="9" t="str">
        <f aca="true">IF(OR(N8="",L8="完了"),"",IF(TODAY()&gt;N8,"超過",IF(TODAY()+3&gt;=N8,"間近","")))</f>
        <v/>
      </c>
      <c r="R8" s="5"/>
      <c r="S8" s="10"/>
      <c r="T8" s="7"/>
    </row>
    <row r="9" customFormat="false" ht="15" hidden="false" customHeight="false" outlineLevel="0" collapsed="false">
      <c r="A9" s="3"/>
      <c r="B9" s="4"/>
      <c r="C9" s="4"/>
      <c r="D9" s="5"/>
      <c r="E9" s="7"/>
      <c r="F9" s="7"/>
      <c r="G9" s="7"/>
      <c r="H9" s="7"/>
      <c r="I9" s="7"/>
      <c r="J9" s="5"/>
      <c r="K9" s="5"/>
      <c r="L9" s="5"/>
      <c r="M9" s="7"/>
      <c r="N9" s="4"/>
      <c r="O9" s="4"/>
      <c r="P9" s="8" t="str">
        <f aca="true">IF(B9="","",IF(O9&lt;&gt;"",O9-B9,TODAY()-B9))</f>
        <v/>
      </c>
      <c r="Q9" s="9" t="str">
        <f aca="true">IF(OR(N9="",L9="完了"),"",IF(TODAY()&gt;N9,"超過",IF(TODAY()+3&gt;=N9,"間近","")))</f>
        <v/>
      </c>
      <c r="R9" s="5"/>
      <c r="S9" s="10"/>
      <c r="T9" s="7"/>
    </row>
    <row r="10" customFormat="false" ht="15" hidden="false" customHeight="false" outlineLevel="0" collapsed="false">
      <c r="A10" s="3"/>
      <c r="B10" s="4"/>
      <c r="C10" s="4"/>
      <c r="D10" s="5"/>
      <c r="E10" s="7"/>
      <c r="F10" s="7"/>
      <c r="G10" s="7"/>
      <c r="H10" s="7"/>
      <c r="I10" s="7"/>
      <c r="J10" s="5"/>
      <c r="K10" s="5"/>
      <c r="L10" s="5"/>
      <c r="M10" s="7"/>
      <c r="N10" s="4"/>
      <c r="O10" s="4"/>
      <c r="P10" s="8" t="str">
        <f aca="true">IF(B10="","",IF(O10&lt;&gt;"",O10-B10,TODAY()-B10))</f>
        <v/>
      </c>
      <c r="Q10" s="9" t="str">
        <f aca="true">IF(OR(N10="",L10="完了"),"",IF(TODAY()&gt;N10,"超過",IF(TODAY()+3&gt;=N10,"間近","")))</f>
        <v/>
      </c>
      <c r="R10" s="5"/>
      <c r="S10" s="10"/>
      <c r="T10" s="7"/>
    </row>
    <row r="11" customFormat="false" ht="15" hidden="false" customHeight="false" outlineLevel="0" collapsed="false">
      <c r="A11" s="3"/>
      <c r="B11" s="4"/>
      <c r="C11" s="4"/>
      <c r="D11" s="5"/>
      <c r="E11" s="7"/>
      <c r="F11" s="7"/>
      <c r="G11" s="7"/>
      <c r="H11" s="7"/>
      <c r="I11" s="7"/>
      <c r="J11" s="5"/>
      <c r="K11" s="5"/>
      <c r="L11" s="5"/>
      <c r="M11" s="7"/>
      <c r="N11" s="4"/>
      <c r="O11" s="4"/>
      <c r="P11" s="8" t="str">
        <f aca="true">IF(B11="","",IF(O11&lt;&gt;"",O11-B11,TODAY()-B11))</f>
        <v/>
      </c>
      <c r="Q11" s="9" t="str">
        <f aca="true">IF(OR(N11="",L11="完了"),"",IF(TODAY()&gt;N11,"超過",IF(TODAY()+3&gt;=N11,"間近","")))</f>
        <v/>
      </c>
      <c r="R11" s="5"/>
      <c r="S11" s="10"/>
      <c r="T11" s="7"/>
    </row>
    <row r="12" customFormat="false" ht="15" hidden="false" customHeight="false" outlineLevel="0" collapsed="false">
      <c r="A12" s="3"/>
      <c r="B12" s="4"/>
      <c r="C12" s="4"/>
      <c r="D12" s="5"/>
      <c r="E12" s="7"/>
      <c r="F12" s="7"/>
      <c r="G12" s="7"/>
      <c r="H12" s="7"/>
      <c r="I12" s="7"/>
      <c r="J12" s="5"/>
      <c r="K12" s="5"/>
      <c r="L12" s="5"/>
      <c r="M12" s="7"/>
      <c r="N12" s="4"/>
      <c r="O12" s="4"/>
      <c r="P12" s="8" t="str">
        <f aca="true">IF(B12="","",IF(O12&lt;&gt;"",O12-B12,TODAY()-B12))</f>
        <v/>
      </c>
      <c r="Q12" s="9" t="str">
        <f aca="true">IF(OR(N12="",L12="完了"),"",IF(TODAY()&gt;N12,"超過",IF(TODAY()+3&gt;=N12,"間近","")))</f>
        <v/>
      </c>
      <c r="R12" s="5"/>
      <c r="S12" s="10"/>
      <c r="T12" s="7"/>
    </row>
    <row r="13" customFormat="false" ht="15" hidden="false" customHeight="false" outlineLevel="0" collapsed="false">
      <c r="A13" s="3"/>
      <c r="B13" s="4"/>
      <c r="C13" s="4"/>
      <c r="D13" s="5"/>
      <c r="E13" s="7"/>
      <c r="F13" s="7"/>
      <c r="G13" s="7"/>
      <c r="H13" s="7"/>
      <c r="I13" s="7"/>
      <c r="J13" s="5"/>
      <c r="K13" s="5"/>
      <c r="L13" s="5"/>
      <c r="M13" s="7"/>
      <c r="N13" s="4"/>
      <c r="O13" s="4"/>
      <c r="P13" s="8" t="str">
        <f aca="true">IF(B13="","",IF(O13&lt;&gt;"",O13-B13,TODAY()-B13))</f>
        <v/>
      </c>
      <c r="Q13" s="9" t="str">
        <f aca="true">IF(OR(N13="",L13="完了"),"",IF(TODAY()&gt;N13,"超過",IF(TODAY()+3&gt;=N13,"間近","")))</f>
        <v/>
      </c>
      <c r="R13" s="5"/>
      <c r="S13" s="10"/>
      <c r="T13" s="7"/>
    </row>
    <row r="14" customFormat="false" ht="15" hidden="false" customHeight="false" outlineLevel="0" collapsed="false">
      <c r="A14" s="3"/>
      <c r="B14" s="4"/>
      <c r="C14" s="4"/>
      <c r="D14" s="5"/>
      <c r="E14" s="7"/>
      <c r="F14" s="7"/>
      <c r="G14" s="7"/>
      <c r="H14" s="7"/>
      <c r="I14" s="7"/>
      <c r="J14" s="5"/>
      <c r="K14" s="5"/>
      <c r="L14" s="5"/>
      <c r="M14" s="7"/>
      <c r="N14" s="4"/>
      <c r="O14" s="4"/>
      <c r="P14" s="8" t="str">
        <f aca="true">IF(B14="","",IF(O14&lt;&gt;"",O14-B14,TODAY()-B14))</f>
        <v/>
      </c>
      <c r="Q14" s="9" t="str">
        <f aca="true">IF(OR(N14="",L14="完了"),"",IF(TODAY()&gt;N14,"超過",IF(TODAY()+3&gt;=N14,"間近","")))</f>
        <v/>
      </c>
      <c r="R14" s="5"/>
      <c r="S14" s="10"/>
      <c r="T14" s="7"/>
    </row>
    <row r="15" customFormat="false" ht="15" hidden="false" customHeight="false" outlineLevel="0" collapsed="false">
      <c r="A15" s="3"/>
      <c r="B15" s="4"/>
      <c r="C15" s="4"/>
      <c r="D15" s="5"/>
      <c r="E15" s="7"/>
      <c r="F15" s="7"/>
      <c r="G15" s="7"/>
      <c r="H15" s="7"/>
      <c r="I15" s="7"/>
      <c r="J15" s="5"/>
      <c r="K15" s="5"/>
      <c r="L15" s="5"/>
      <c r="M15" s="7"/>
      <c r="N15" s="4"/>
      <c r="O15" s="4"/>
      <c r="P15" s="8" t="str">
        <f aca="true">IF(B15="","",IF(O15&lt;&gt;"",O15-B15,TODAY()-B15))</f>
        <v/>
      </c>
      <c r="Q15" s="9" t="str">
        <f aca="true">IF(OR(N15="",L15="完了"),"",IF(TODAY()&gt;N15,"超過",IF(TODAY()+3&gt;=N15,"間近","")))</f>
        <v/>
      </c>
      <c r="R15" s="5"/>
      <c r="S15" s="10"/>
      <c r="T15" s="7"/>
    </row>
    <row r="16" customFormat="false" ht="15" hidden="false" customHeight="false" outlineLevel="0" collapsed="false">
      <c r="A16" s="3"/>
      <c r="B16" s="4"/>
      <c r="C16" s="4"/>
      <c r="D16" s="5"/>
      <c r="E16" s="7"/>
      <c r="F16" s="7"/>
      <c r="G16" s="7"/>
      <c r="H16" s="7"/>
      <c r="I16" s="7"/>
      <c r="J16" s="5"/>
      <c r="K16" s="5"/>
      <c r="L16" s="5"/>
      <c r="M16" s="7"/>
      <c r="N16" s="4"/>
      <c r="O16" s="4"/>
      <c r="P16" s="8" t="str">
        <f aca="true">IF(B16="","",IF(O16&lt;&gt;"",O16-B16,TODAY()-B16))</f>
        <v/>
      </c>
      <c r="Q16" s="9" t="str">
        <f aca="true">IF(OR(N16="",L16="完了"),"",IF(TODAY()&gt;N16,"超過",IF(TODAY()+3&gt;=N16,"間近","")))</f>
        <v/>
      </c>
      <c r="R16" s="5"/>
      <c r="S16" s="10"/>
      <c r="T16" s="7"/>
    </row>
    <row r="17" customFormat="false" ht="15" hidden="false" customHeight="false" outlineLevel="0" collapsed="false">
      <c r="A17" s="3"/>
      <c r="B17" s="4"/>
      <c r="C17" s="4"/>
      <c r="D17" s="5"/>
      <c r="E17" s="7"/>
      <c r="F17" s="7"/>
      <c r="G17" s="7"/>
      <c r="H17" s="7"/>
      <c r="I17" s="7"/>
      <c r="J17" s="5"/>
      <c r="K17" s="5"/>
      <c r="L17" s="5"/>
      <c r="M17" s="7"/>
      <c r="N17" s="4"/>
      <c r="O17" s="4"/>
      <c r="P17" s="8" t="str">
        <f aca="true">IF(B17="","",IF(O17&lt;&gt;"",O17-B17,TODAY()-B17))</f>
        <v/>
      </c>
      <c r="Q17" s="9" t="str">
        <f aca="true">IF(OR(N17="",L17="完了"),"",IF(TODAY()&gt;N17,"超過",IF(TODAY()+3&gt;=N17,"間近","")))</f>
        <v/>
      </c>
      <c r="R17" s="5"/>
      <c r="S17" s="10"/>
      <c r="T17" s="7"/>
    </row>
    <row r="18" customFormat="false" ht="15" hidden="false" customHeight="false" outlineLevel="0" collapsed="false">
      <c r="A18" s="3"/>
      <c r="B18" s="4"/>
      <c r="C18" s="4"/>
      <c r="D18" s="5"/>
      <c r="E18" s="7"/>
      <c r="F18" s="7"/>
      <c r="G18" s="7"/>
      <c r="H18" s="7"/>
      <c r="I18" s="7"/>
      <c r="J18" s="5"/>
      <c r="K18" s="5"/>
      <c r="L18" s="5"/>
      <c r="M18" s="7"/>
      <c r="N18" s="4"/>
      <c r="O18" s="4"/>
      <c r="P18" s="8" t="str">
        <f aca="true">IF(B18="","",IF(O18&lt;&gt;"",O18-B18,TODAY()-B18))</f>
        <v/>
      </c>
      <c r="Q18" s="9" t="str">
        <f aca="true">IF(OR(N18="",L18="完了"),"",IF(TODAY()&gt;N18,"超過",IF(TODAY()+3&gt;=N18,"間近","")))</f>
        <v/>
      </c>
      <c r="R18" s="5"/>
      <c r="S18" s="10"/>
      <c r="T18" s="7"/>
    </row>
    <row r="19" customFormat="false" ht="15" hidden="false" customHeight="false" outlineLevel="0" collapsed="false">
      <c r="A19" s="3"/>
      <c r="B19" s="4"/>
      <c r="C19" s="4"/>
      <c r="D19" s="5"/>
      <c r="E19" s="7"/>
      <c r="F19" s="7"/>
      <c r="G19" s="7"/>
      <c r="H19" s="7"/>
      <c r="I19" s="7"/>
      <c r="J19" s="5"/>
      <c r="K19" s="5"/>
      <c r="L19" s="5"/>
      <c r="M19" s="7"/>
      <c r="N19" s="4"/>
      <c r="O19" s="4"/>
      <c r="P19" s="8" t="str">
        <f aca="true">IF(B19="","",IF(O19&lt;&gt;"",O19-B19,TODAY()-B19))</f>
        <v/>
      </c>
      <c r="Q19" s="9" t="str">
        <f aca="true">IF(OR(N19="",L19="完了"),"",IF(TODAY()&gt;N19,"超過",IF(TODAY()+3&gt;=N19,"間近","")))</f>
        <v/>
      </c>
      <c r="R19" s="5"/>
      <c r="S19" s="10"/>
      <c r="T19" s="7"/>
    </row>
    <row r="20" customFormat="false" ht="15" hidden="false" customHeight="false" outlineLevel="0" collapsed="false">
      <c r="A20" s="3"/>
      <c r="B20" s="4"/>
      <c r="C20" s="4"/>
      <c r="D20" s="5"/>
      <c r="E20" s="7"/>
      <c r="F20" s="7"/>
      <c r="G20" s="7"/>
      <c r="H20" s="7"/>
      <c r="I20" s="7"/>
      <c r="J20" s="5"/>
      <c r="K20" s="5"/>
      <c r="L20" s="5"/>
      <c r="M20" s="7"/>
      <c r="N20" s="4"/>
      <c r="O20" s="4"/>
      <c r="P20" s="8" t="str">
        <f aca="true">IF(B20="","",IF(O20&lt;&gt;"",O20-B20,TODAY()-B20))</f>
        <v/>
      </c>
      <c r="Q20" s="9" t="str">
        <f aca="true">IF(OR(N20="",L20="完了"),"",IF(TODAY()&gt;N20,"超過",IF(TODAY()+3&gt;=N20,"間近","")))</f>
        <v/>
      </c>
      <c r="R20" s="5"/>
      <c r="S20" s="10"/>
      <c r="T20" s="7"/>
    </row>
    <row r="21" customFormat="false" ht="15" hidden="false" customHeight="false" outlineLevel="0" collapsed="false">
      <c r="A21" s="3"/>
      <c r="B21" s="4"/>
      <c r="C21" s="4"/>
      <c r="D21" s="5"/>
      <c r="E21" s="7"/>
      <c r="F21" s="7"/>
      <c r="G21" s="7"/>
      <c r="H21" s="7"/>
      <c r="I21" s="7"/>
      <c r="J21" s="5"/>
      <c r="K21" s="5"/>
      <c r="L21" s="5"/>
      <c r="M21" s="7"/>
      <c r="N21" s="4"/>
      <c r="O21" s="4"/>
      <c r="P21" s="8" t="str">
        <f aca="true">IF(B21="","",IF(O21&lt;&gt;"",O21-B21,TODAY()-B21))</f>
        <v/>
      </c>
      <c r="Q21" s="9" t="str">
        <f aca="true">IF(OR(N21="",L21="完了"),"",IF(TODAY()&gt;N21,"超過",IF(TODAY()+3&gt;=N21,"間近","")))</f>
        <v/>
      </c>
      <c r="R21" s="5"/>
      <c r="S21" s="10"/>
      <c r="T21" s="7"/>
    </row>
    <row r="22" customFormat="false" ht="15" hidden="false" customHeight="false" outlineLevel="0" collapsed="false">
      <c r="A22" s="3"/>
      <c r="B22" s="4"/>
      <c r="C22" s="4"/>
      <c r="D22" s="5"/>
      <c r="E22" s="7"/>
      <c r="F22" s="7"/>
      <c r="G22" s="7"/>
      <c r="H22" s="7"/>
      <c r="I22" s="7"/>
      <c r="J22" s="5"/>
      <c r="K22" s="5"/>
      <c r="L22" s="5"/>
      <c r="M22" s="7"/>
      <c r="N22" s="4"/>
      <c r="O22" s="4"/>
      <c r="P22" s="8" t="str">
        <f aca="true">IF(B22="","",IF(O22&lt;&gt;"",O22-B22,TODAY()-B22))</f>
        <v/>
      </c>
      <c r="Q22" s="9" t="str">
        <f aca="true">IF(OR(N22="",L22="完了"),"",IF(TODAY()&gt;N22,"超過",IF(TODAY()+3&gt;=N22,"間近","")))</f>
        <v/>
      </c>
      <c r="R22" s="5"/>
      <c r="S22" s="10"/>
      <c r="T22" s="7"/>
    </row>
    <row r="23" customFormat="false" ht="15" hidden="false" customHeight="false" outlineLevel="0" collapsed="false">
      <c r="A23" s="3"/>
      <c r="B23" s="4"/>
      <c r="C23" s="4"/>
      <c r="D23" s="5"/>
      <c r="E23" s="7"/>
      <c r="F23" s="7"/>
      <c r="G23" s="7"/>
      <c r="H23" s="7"/>
      <c r="I23" s="7"/>
      <c r="J23" s="5"/>
      <c r="K23" s="5"/>
      <c r="L23" s="5"/>
      <c r="M23" s="7"/>
      <c r="N23" s="4"/>
      <c r="O23" s="4"/>
      <c r="P23" s="8" t="str">
        <f aca="true">IF(B23="","",IF(O23&lt;&gt;"",O23-B23,TODAY()-B23))</f>
        <v/>
      </c>
      <c r="Q23" s="9" t="str">
        <f aca="true">IF(OR(N23="",L23="完了"),"",IF(TODAY()&gt;N23,"超過",IF(TODAY()+3&gt;=N23,"間近","")))</f>
        <v/>
      </c>
      <c r="R23" s="5"/>
      <c r="S23" s="10"/>
      <c r="T23" s="7"/>
    </row>
    <row r="24" customFormat="false" ht="15" hidden="false" customHeight="false" outlineLevel="0" collapsed="false">
      <c r="A24" s="3"/>
      <c r="B24" s="4"/>
      <c r="C24" s="4"/>
      <c r="D24" s="5"/>
      <c r="E24" s="7"/>
      <c r="F24" s="7"/>
      <c r="G24" s="7"/>
      <c r="H24" s="7"/>
      <c r="I24" s="7"/>
      <c r="J24" s="5"/>
      <c r="K24" s="5"/>
      <c r="L24" s="5"/>
      <c r="M24" s="7"/>
      <c r="N24" s="4"/>
      <c r="O24" s="4"/>
      <c r="P24" s="8" t="str">
        <f aca="true">IF(B24="","",IF(O24&lt;&gt;"",O24-B24,TODAY()-B24))</f>
        <v/>
      </c>
      <c r="Q24" s="9" t="str">
        <f aca="true">IF(OR(N24="",L24="完了"),"",IF(TODAY()&gt;N24,"超過",IF(TODAY()+3&gt;=N24,"間近","")))</f>
        <v/>
      </c>
      <c r="R24" s="5"/>
      <c r="S24" s="10"/>
      <c r="T24" s="7"/>
    </row>
    <row r="25" customFormat="false" ht="15" hidden="false" customHeight="false" outlineLevel="0" collapsed="false">
      <c r="A25" s="3"/>
      <c r="B25" s="4"/>
      <c r="C25" s="4"/>
      <c r="D25" s="5"/>
      <c r="E25" s="7"/>
      <c r="F25" s="7"/>
      <c r="G25" s="7"/>
      <c r="H25" s="7"/>
      <c r="I25" s="7"/>
      <c r="J25" s="5"/>
      <c r="K25" s="5"/>
      <c r="L25" s="5"/>
      <c r="M25" s="7"/>
      <c r="N25" s="4"/>
      <c r="O25" s="4"/>
      <c r="P25" s="8" t="str">
        <f aca="true">IF(B25="","",IF(O25&lt;&gt;"",O25-B25,TODAY()-B25))</f>
        <v/>
      </c>
      <c r="Q25" s="9" t="str">
        <f aca="true">IF(OR(N25="",L25="完了"),"",IF(TODAY()&gt;N25,"超過",IF(TODAY()+3&gt;=N25,"間近","")))</f>
        <v/>
      </c>
      <c r="R25" s="5"/>
      <c r="S25" s="10"/>
      <c r="T25" s="7"/>
    </row>
    <row r="26" customFormat="false" ht="15" hidden="false" customHeight="false" outlineLevel="0" collapsed="false">
      <c r="A26" s="3"/>
      <c r="B26" s="4"/>
      <c r="C26" s="4"/>
      <c r="D26" s="5"/>
      <c r="E26" s="7"/>
      <c r="F26" s="7"/>
      <c r="G26" s="7"/>
      <c r="H26" s="7"/>
      <c r="I26" s="7"/>
      <c r="J26" s="5"/>
      <c r="K26" s="5"/>
      <c r="L26" s="5"/>
      <c r="M26" s="7"/>
      <c r="N26" s="4"/>
      <c r="O26" s="4"/>
      <c r="P26" s="8" t="str">
        <f aca="true">IF(B26="","",IF(O26&lt;&gt;"",O26-B26,TODAY()-B26))</f>
        <v/>
      </c>
      <c r="Q26" s="9" t="str">
        <f aca="true">IF(OR(N26="",L26="完了"),"",IF(TODAY()&gt;N26,"超過",IF(TODAY()+3&gt;=N26,"間近","")))</f>
        <v/>
      </c>
      <c r="R26" s="5"/>
      <c r="S26" s="10"/>
      <c r="T26" s="7"/>
    </row>
    <row r="27" customFormat="false" ht="15" hidden="false" customHeight="false" outlineLevel="0" collapsed="false">
      <c r="A27" s="3"/>
      <c r="B27" s="4"/>
      <c r="C27" s="4"/>
      <c r="D27" s="5"/>
      <c r="E27" s="7"/>
      <c r="F27" s="7"/>
      <c r="G27" s="7"/>
      <c r="H27" s="7"/>
      <c r="I27" s="7"/>
      <c r="J27" s="5"/>
      <c r="K27" s="5"/>
      <c r="L27" s="5"/>
      <c r="M27" s="7"/>
      <c r="N27" s="4"/>
      <c r="O27" s="4"/>
      <c r="P27" s="8" t="str">
        <f aca="true">IF(B27="","",IF(O27&lt;&gt;"",O27-B27,TODAY()-B27))</f>
        <v/>
      </c>
      <c r="Q27" s="9" t="str">
        <f aca="true">IF(OR(N27="",L27="完了"),"",IF(TODAY()&gt;N27,"超過",IF(TODAY()+3&gt;=N27,"間近","")))</f>
        <v/>
      </c>
      <c r="R27" s="5"/>
      <c r="S27" s="10"/>
      <c r="T27" s="7"/>
    </row>
    <row r="28" customFormat="false" ht="15" hidden="false" customHeight="false" outlineLevel="0" collapsed="false">
      <c r="A28" s="3"/>
      <c r="B28" s="4"/>
      <c r="C28" s="4"/>
      <c r="D28" s="5"/>
      <c r="E28" s="7"/>
      <c r="F28" s="7"/>
      <c r="G28" s="7"/>
      <c r="H28" s="7"/>
      <c r="I28" s="7"/>
      <c r="J28" s="5"/>
      <c r="K28" s="5"/>
      <c r="L28" s="5"/>
      <c r="M28" s="7"/>
      <c r="N28" s="4"/>
      <c r="O28" s="4"/>
      <c r="P28" s="8" t="str">
        <f aca="true">IF(B28="","",IF(O28&lt;&gt;"",O28-B28,TODAY()-B28))</f>
        <v/>
      </c>
      <c r="Q28" s="9" t="str">
        <f aca="true">IF(OR(N28="",L28="完了"),"",IF(TODAY()&gt;N28,"超過",IF(TODAY()+3&gt;=N28,"間近","")))</f>
        <v/>
      </c>
      <c r="R28" s="5"/>
      <c r="S28" s="10"/>
      <c r="T28" s="7"/>
    </row>
    <row r="29" customFormat="false" ht="15" hidden="false" customHeight="false" outlineLevel="0" collapsed="false">
      <c r="A29" s="3"/>
      <c r="B29" s="4"/>
      <c r="C29" s="4"/>
      <c r="D29" s="5"/>
      <c r="E29" s="7"/>
      <c r="F29" s="7"/>
      <c r="G29" s="7"/>
      <c r="H29" s="7"/>
      <c r="I29" s="7"/>
      <c r="J29" s="5"/>
      <c r="K29" s="5"/>
      <c r="L29" s="5"/>
      <c r="M29" s="7"/>
      <c r="N29" s="4"/>
      <c r="O29" s="4"/>
      <c r="P29" s="8" t="str">
        <f aca="true">IF(B29="","",IF(O29&lt;&gt;"",O29-B29,TODAY()-B29))</f>
        <v/>
      </c>
      <c r="Q29" s="9" t="str">
        <f aca="true">IF(OR(N29="",L29="完了"),"",IF(TODAY()&gt;N29,"超過",IF(TODAY()+3&gt;=N29,"間近","")))</f>
        <v/>
      </c>
      <c r="R29" s="5"/>
      <c r="S29" s="10"/>
      <c r="T29" s="7"/>
    </row>
    <row r="30" customFormat="false" ht="15" hidden="false" customHeight="false" outlineLevel="0" collapsed="false">
      <c r="A30" s="3"/>
      <c r="B30" s="4"/>
      <c r="C30" s="4"/>
      <c r="D30" s="5"/>
      <c r="E30" s="7"/>
      <c r="F30" s="7"/>
      <c r="G30" s="7"/>
      <c r="H30" s="7"/>
      <c r="I30" s="7"/>
      <c r="J30" s="5"/>
      <c r="K30" s="5"/>
      <c r="L30" s="5"/>
      <c r="M30" s="7"/>
      <c r="N30" s="4"/>
      <c r="O30" s="4"/>
      <c r="P30" s="8" t="str">
        <f aca="true">IF(B30="","",IF(O30&lt;&gt;"",O30-B30,TODAY()-B30))</f>
        <v/>
      </c>
      <c r="Q30" s="9" t="str">
        <f aca="true">IF(OR(N30="",L30="完了"),"",IF(TODAY()&gt;N30,"超過",IF(TODAY()+3&gt;=N30,"間近","")))</f>
        <v/>
      </c>
      <c r="R30" s="5"/>
      <c r="S30" s="10"/>
      <c r="T30" s="7"/>
    </row>
    <row r="31" customFormat="false" ht="15" hidden="false" customHeight="false" outlineLevel="0" collapsed="false">
      <c r="A31" s="3"/>
      <c r="B31" s="4"/>
      <c r="C31" s="4"/>
      <c r="D31" s="5"/>
      <c r="E31" s="7"/>
      <c r="F31" s="7"/>
      <c r="G31" s="7"/>
      <c r="H31" s="7"/>
      <c r="I31" s="7"/>
      <c r="J31" s="5"/>
      <c r="K31" s="5"/>
      <c r="L31" s="5"/>
      <c r="M31" s="7"/>
      <c r="N31" s="4"/>
      <c r="O31" s="4"/>
      <c r="P31" s="8" t="str">
        <f aca="true">IF(B31="","",IF(O31&lt;&gt;"",O31-B31,TODAY()-B31))</f>
        <v/>
      </c>
      <c r="Q31" s="9" t="str">
        <f aca="true">IF(OR(N31="",L31="完了"),"",IF(TODAY()&gt;N31,"超過",IF(TODAY()+3&gt;=N31,"間近","")))</f>
        <v/>
      </c>
      <c r="R31" s="5"/>
      <c r="S31" s="10"/>
      <c r="T31" s="7"/>
    </row>
    <row r="32" customFormat="false" ht="15" hidden="false" customHeight="false" outlineLevel="0" collapsed="false">
      <c r="A32" s="3"/>
      <c r="B32" s="4"/>
      <c r="C32" s="4"/>
      <c r="D32" s="5"/>
      <c r="E32" s="7"/>
      <c r="F32" s="7"/>
      <c r="G32" s="7"/>
      <c r="H32" s="7"/>
      <c r="I32" s="7"/>
      <c r="J32" s="5"/>
      <c r="K32" s="5"/>
      <c r="L32" s="5"/>
      <c r="M32" s="7"/>
      <c r="N32" s="4"/>
      <c r="O32" s="4"/>
      <c r="P32" s="8" t="str">
        <f aca="true">IF(B32="","",IF(O32&lt;&gt;"",O32-B32,TODAY()-B32))</f>
        <v/>
      </c>
      <c r="Q32" s="9" t="str">
        <f aca="true">IF(OR(N32="",L32="完了"),"",IF(TODAY()&gt;N32,"超過",IF(TODAY()+3&gt;=N32,"間近","")))</f>
        <v/>
      </c>
      <c r="R32" s="5"/>
      <c r="S32" s="10"/>
      <c r="T32" s="7"/>
    </row>
    <row r="33" customFormat="false" ht="15" hidden="false" customHeight="false" outlineLevel="0" collapsed="false">
      <c r="A33" s="3"/>
      <c r="B33" s="4"/>
      <c r="C33" s="4"/>
      <c r="D33" s="5"/>
      <c r="E33" s="7"/>
      <c r="F33" s="7"/>
      <c r="G33" s="7"/>
      <c r="H33" s="7"/>
      <c r="I33" s="7"/>
      <c r="J33" s="5"/>
      <c r="K33" s="5"/>
      <c r="L33" s="5"/>
      <c r="M33" s="7"/>
      <c r="N33" s="4"/>
      <c r="O33" s="4"/>
      <c r="P33" s="8" t="str">
        <f aca="true">IF(B33="","",IF(O33&lt;&gt;"",O33-B33,TODAY()-B33))</f>
        <v/>
      </c>
      <c r="Q33" s="9" t="str">
        <f aca="true">IF(OR(N33="",L33="完了"),"",IF(TODAY()&gt;N33,"超過",IF(TODAY()+3&gt;=N33,"間近","")))</f>
        <v/>
      </c>
      <c r="R33" s="5"/>
      <c r="S33" s="10"/>
      <c r="T33" s="7"/>
    </row>
    <row r="34" customFormat="false" ht="15" hidden="false" customHeight="false" outlineLevel="0" collapsed="false">
      <c r="A34" s="3"/>
      <c r="B34" s="4"/>
      <c r="C34" s="4"/>
      <c r="D34" s="5"/>
      <c r="E34" s="7"/>
      <c r="F34" s="7"/>
      <c r="G34" s="7"/>
      <c r="H34" s="7"/>
      <c r="I34" s="7"/>
      <c r="J34" s="5"/>
      <c r="K34" s="5"/>
      <c r="L34" s="5"/>
      <c r="M34" s="7"/>
      <c r="N34" s="4"/>
      <c r="O34" s="4"/>
      <c r="P34" s="8" t="str">
        <f aca="true">IF(B34="","",IF(O34&lt;&gt;"",O34-B34,TODAY()-B34))</f>
        <v/>
      </c>
      <c r="Q34" s="9" t="str">
        <f aca="true">IF(OR(N34="",L34="完了"),"",IF(TODAY()&gt;N34,"超過",IF(TODAY()+3&gt;=N34,"間近","")))</f>
        <v/>
      </c>
      <c r="R34" s="5"/>
      <c r="S34" s="10"/>
      <c r="T34" s="7"/>
    </row>
    <row r="35" customFormat="false" ht="15" hidden="false" customHeight="false" outlineLevel="0" collapsed="false">
      <c r="A35" s="3"/>
      <c r="B35" s="4"/>
      <c r="C35" s="4"/>
      <c r="D35" s="5"/>
      <c r="E35" s="7"/>
      <c r="F35" s="7"/>
      <c r="G35" s="7"/>
      <c r="H35" s="7"/>
      <c r="I35" s="7"/>
      <c r="J35" s="5"/>
      <c r="K35" s="5"/>
      <c r="L35" s="5"/>
      <c r="M35" s="7"/>
      <c r="N35" s="4"/>
      <c r="O35" s="4"/>
      <c r="P35" s="8" t="str">
        <f aca="true">IF(B35="","",IF(O35&lt;&gt;"",O35-B35,TODAY()-B35))</f>
        <v/>
      </c>
      <c r="Q35" s="9" t="str">
        <f aca="true">IF(OR(N35="",L35="完了"),"",IF(TODAY()&gt;N35,"超過",IF(TODAY()+3&gt;=N35,"間近","")))</f>
        <v/>
      </c>
      <c r="R35" s="5"/>
      <c r="S35" s="10"/>
      <c r="T35" s="7"/>
    </row>
    <row r="36" customFormat="false" ht="15" hidden="false" customHeight="false" outlineLevel="0" collapsed="false">
      <c r="A36" s="3"/>
      <c r="B36" s="4"/>
      <c r="C36" s="4"/>
      <c r="D36" s="5"/>
      <c r="E36" s="7"/>
      <c r="F36" s="7"/>
      <c r="G36" s="7"/>
      <c r="H36" s="7"/>
      <c r="I36" s="7"/>
      <c r="J36" s="5"/>
      <c r="K36" s="5"/>
      <c r="L36" s="5"/>
      <c r="M36" s="7"/>
      <c r="N36" s="4"/>
      <c r="O36" s="4"/>
      <c r="P36" s="8" t="str">
        <f aca="true">IF(B36="","",IF(O36&lt;&gt;"",O36-B36,TODAY()-B36))</f>
        <v/>
      </c>
      <c r="Q36" s="9" t="str">
        <f aca="true">IF(OR(N36="",L36="完了"),"",IF(TODAY()&gt;N36,"超過",IF(TODAY()+3&gt;=N36,"間近","")))</f>
        <v/>
      </c>
      <c r="R36" s="5"/>
      <c r="S36" s="10"/>
      <c r="T36" s="7"/>
    </row>
    <row r="37" customFormat="false" ht="15" hidden="false" customHeight="false" outlineLevel="0" collapsed="false">
      <c r="A37" s="3"/>
      <c r="B37" s="4"/>
      <c r="C37" s="4"/>
      <c r="D37" s="5"/>
      <c r="E37" s="7"/>
      <c r="F37" s="7"/>
      <c r="G37" s="7"/>
      <c r="H37" s="7"/>
      <c r="I37" s="7"/>
      <c r="J37" s="5"/>
      <c r="K37" s="5"/>
      <c r="L37" s="5"/>
      <c r="M37" s="7"/>
      <c r="N37" s="4"/>
      <c r="O37" s="4"/>
      <c r="P37" s="8" t="str">
        <f aca="true">IF(B37="","",IF(O37&lt;&gt;"",O37-B37,TODAY()-B37))</f>
        <v/>
      </c>
      <c r="Q37" s="9" t="str">
        <f aca="true">IF(OR(N37="",L37="完了"),"",IF(TODAY()&gt;N37,"超過",IF(TODAY()+3&gt;=N37,"間近","")))</f>
        <v/>
      </c>
      <c r="R37" s="5"/>
      <c r="S37" s="10"/>
      <c r="T37" s="7"/>
    </row>
    <row r="38" customFormat="false" ht="15" hidden="false" customHeight="false" outlineLevel="0" collapsed="false">
      <c r="A38" s="3"/>
      <c r="B38" s="4"/>
      <c r="C38" s="4"/>
      <c r="D38" s="5"/>
      <c r="E38" s="7"/>
      <c r="F38" s="7"/>
      <c r="G38" s="7"/>
      <c r="H38" s="7"/>
      <c r="I38" s="7"/>
      <c r="J38" s="5"/>
      <c r="K38" s="5"/>
      <c r="L38" s="5"/>
      <c r="M38" s="7"/>
      <c r="N38" s="4"/>
      <c r="O38" s="4"/>
      <c r="P38" s="8" t="str">
        <f aca="true">IF(B38="","",IF(O38&lt;&gt;"",O38-B38,TODAY()-B38))</f>
        <v/>
      </c>
      <c r="Q38" s="9" t="str">
        <f aca="true">IF(OR(N38="",L38="完了"),"",IF(TODAY()&gt;N38,"超過",IF(TODAY()+3&gt;=N38,"間近","")))</f>
        <v/>
      </c>
      <c r="R38" s="5"/>
      <c r="S38" s="10"/>
      <c r="T38" s="7"/>
    </row>
    <row r="39" customFormat="false" ht="15" hidden="false" customHeight="false" outlineLevel="0" collapsed="false">
      <c r="A39" s="3"/>
      <c r="B39" s="4"/>
      <c r="C39" s="4"/>
      <c r="D39" s="5"/>
      <c r="E39" s="7"/>
      <c r="F39" s="7"/>
      <c r="G39" s="7"/>
      <c r="H39" s="7"/>
      <c r="I39" s="7"/>
      <c r="J39" s="5"/>
      <c r="K39" s="5"/>
      <c r="L39" s="5"/>
      <c r="M39" s="7"/>
      <c r="N39" s="4"/>
      <c r="O39" s="4"/>
      <c r="P39" s="8" t="str">
        <f aca="true">IF(B39="","",IF(O39&lt;&gt;"",O39-B39,TODAY()-B39))</f>
        <v/>
      </c>
      <c r="Q39" s="9" t="str">
        <f aca="true">IF(OR(N39="",L39="完了"),"",IF(TODAY()&gt;N39,"超過",IF(TODAY()+3&gt;=N39,"間近","")))</f>
        <v/>
      </c>
      <c r="R39" s="5"/>
      <c r="S39" s="10"/>
      <c r="T39" s="7"/>
    </row>
    <row r="40" customFormat="false" ht="15" hidden="false" customHeight="false" outlineLevel="0" collapsed="false">
      <c r="A40" s="3"/>
      <c r="B40" s="4"/>
      <c r="C40" s="4"/>
      <c r="D40" s="5"/>
      <c r="E40" s="7"/>
      <c r="F40" s="7"/>
      <c r="G40" s="7"/>
      <c r="H40" s="7"/>
      <c r="I40" s="7"/>
      <c r="J40" s="5"/>
      <c r="K40" s="5"/>
      <c r="L40" s="5"/>
      <c r="M40" s="7"/>
      <c r="N40" s="4"/>
      <c r="O40" s="4"/>
      <c r="P40" s="8" t="str">
        <f aca="true">IF(B40="","",IF(O40&lt;&gt;"",O40-B40,TODAY()-B40))</f>
        <v/>
      </c>
      <c r="Q40" s="9" t="str">
        <f aca="true">IF(OR(N40="",L40="完了"),"",IF(TODAY()&gt;N40,"超過",IF(TODAY()+3&gt;=N40,"間近","")))</f>
        <v/>
      </c>
      <c r="R40" s="5"/>
      <c r="S40" s="10"/>
      <c r="T40" s="7"/>
    </row>
    <row r="41" customFormat="false" ht="15" hidden="false" customHeight="false" outlineLevel="0" collapsed="false">
      <c r="A41" s="3"/>
      <c r="B41" s="4"/>
      <c r="C41" s="4"/>
      <c r="D41" s="5"/>
      <c r="E41" s="7"/>
      <c r="F41" s="7"/>
      <c r="G41" s="7"/>
      <c r="H41" s="7"/>
      <c r="I41" s="7"/>
      <c r="J41" s="5"/>
      <c r="K41" s="5"/>
      <c r="L41" s="5"/>
      <c r="M41" s="7"/>
      <c r="N41" s="4"/>
      <c r="O41" s="4"/>
      <c r="P41" s="8" t="str">
        <f aca="true">IF(B41="","",IF(O41&lt;&gt;"",O41-B41,TODAY()-B41))</f>
        <v/>
      </c>
      <c r="Q41" s="9" t="str">
        <f aca="true">IF(OR(N41="",L41="完了"),"",IF(TODAY()&gt;N41,"超過",IF(TODAY()+3&gt;=N41,"間近","")))</f>
        <v/>
      </c>
      <c r="R41" s="5"/>
      <c r="S41" s="10"/>
      <c r="T41" s="7"/>
    </row>
    <row r="42" customFormat="false" ht="15" hidden="false" customHeight="false" outlineLevel="0" collapsed="false">
      <c r="A42" s="3"/>
      <c r="B42" s="4"/>
      <c r="C42" s="4"/>
      <c r="D42" s="5"/>
      <c r="E42" s="7"/>
      <c r="F42" s="7"/>
      <c r="G42" s="7"/>
      <c r="H42" s="7"/>
      <c r="I42" s="7"/>
      <c r="J42" s="5"/>
      <c r="K42" s="5"/>
      <c r="L42" s="5"/>
      <c r="M42" s="7"/>
      <c r="N42" s="4"/>
      <c r="O42" s="4"/>
      <c r="P42" s="8" t="str">
        <f aca="true">IF(B42="","",IF(O42&lt;&gt;"",O42-B42,TODAY()-B42))</f>
        <v/>
      </c>
      <c r="Q42" s="9" t="str">
        <f aca="true">IF(OR(N42="",L42="完了"),"",IF(TODAY()&gt;N42,"超過",IF(TODAY()+3&gt;=N42,"間近","")))</f>
        <v/>
      </c>
      <c r="R42" s="5"/>
      <c r="S42" s="10"/>
      <c r="T42" s="7"/>
    </row>
    <row r="43" customFormat="false" ht="15" hidden="false" customHeight="false" outlineLevel="0" collapsed="false">
      <c r="A43" s="3"/>
      <c r="B43" s="4"/>
      <c r="C43" s="4"/>
      <c r="D43" s="5"/>
      <c r="E43" s="7"/>
      <c r="F43" s="7"/>
      <c r="G43" s="7"/>
      <c r="H43" s="7"/>
      <c r="I43" s="7"/>
      <c r="J43" s="5"/>
      <c r="K43" s="5"/>
      <c r="L43" s="5"/>
      <c r="M43" s="7"/>
      <c r="N43" s="4"/>
      <c r="O43" s="4"/>
      <c r="P43" s="8" t="str">
        <f aca="true">IF(B43="","",IF(O43&lt;&gt;"",O43-B43,TODAY()-B43))</f>
        <v/>
      </c>
      <c r="Q43" s="9" t="str">
        <f aca="true">IF(OR(N43="",L43="完了"),"",IF(TODAY()&gt;N43,"超過",IF(TODAY()+3&gt;=N43,"間近","")))</f>
        <v/>
      </c>
      <c r="R43" s="5"/>
      <c r="S43" s="10"/>
      <c r="T43" s="7"/>
    </row>
    <row r="44" customFormat="false" ht="15" hidden="false" customHeight="false" outlineLevel="0" collapsed="false">
      <c r="A44" s="3"/>
      <c r="B44" s="4"/>
      <c r="C44" s="4"/>
      <c r="D44" s="5"/>
      <c r="E44" s="7"/>
      <c r="F44" s="7"/>
      <c r="G44" s="7"/>
      <c r="H44" s="7"/>
      <c r="I44" s="7"/>
      <c r="J44" s="5"/>
      <c r="K44" s="5"/>
      <c r="L44" s="5"/>
      <c r="M44" s="7"/>
      <c r="N44" s="4"/>
      <c r="O44" s="4"/>
      <c r="P44" s="8" t="str">
        <f aca="true">IF(B44="","",IF(O44&lt;&gt;"",O44-B44,TODAY()-B44))</f>
        <v/>
      </c>
      <c r="Q44" s="9" t="str">
        <f aca="true">IF(OR(N44="",L44="完了"),"",IF(TODAY()&gt;N44,"超過",IF(TODAY()+3&gt;=N44,"間近","")))</f>
        <v/>
      </c>
      <c r="R44" s="5"/>
      <c r="S44" s="10"/>
      <c r="T44" s="7"/>
    </row>
    <row r="45" customFormat="false" ht="15" hidden="false" customHeight="false" outlineLevel="0" collapsed="false">
      <c r="A45" s="3"/>
      <c r="B45" s="4"/>
      <c r="C45" s="4"/>
      <c r="D45" s="5"/>
      <c r="E45" s="7"/>
      <c r="F45" s="7"/>
      <c r="G45" s="7"/>
      <c r="H45" s="7"/>
      <c r="I45" s="7"/>
      <c r="J45" s="5"/>
      <c r="K45" s="5"/>
      <c r="L45" s="5"/>
      <c r="M45" s="7"/>
      <c r="N45" s="4"/>
      <c r="O45" s="4"/>
      <c r="P45" s="8" t="str">
        <f aca="true">IF(B45="","",IF(O45&lt;&gt;"",O45-B45,TODAY()-B45))</f>
        <v/>
      </c>
      <c r="Q45" s="9" t="str">
        <f aca="true">IF(OR(N45="",L45="完了"),"",IF(TODAY()&gt;N45,"超過",IF(TODAY()+3&gt;=N45,"間近","")))</f>
        <v/>
      </c>
      <c r="R45" s="5"/>
      <c r="S45" s="10"/>
      <c r="T45" s="7"/>
    </row>
    <row r="46" customFormat="false" ht="15" hidden="false" customHeight="false" outlineLevel="0" collapsed="false">
      <c r="A46" s="3"/>
      <c r="B46" s="4"/>
      <c r="C46" s="4"/>
      <c r="D46" s="5"/>
      <c r="E46" s="7"/>
      <c r="F46" s="7"/>
      <c r="G46" s="7"/>
      <c r="H46" s="7"/>
      <c r="I46" s="7"/>
      <c r="J46" s="5"/>
      <c r="K46" s="5"/>
      <c r="L46" s="5"/>
      <c r="M46" s="7"/>
      <c r="N46" s="4"/>
      <c r="O46" s="4"/>
      <c r="P46" s="8" t="str">
        <f aca="true">IF(B46="","",IF(O46&lt;&gt;"",O46-B46,TODAY()-B46))</f>
        <v/>
      </c>
      <c r="Q46" s="9" t="str">
        <f aca="true">IF(OR(N46="",L46="完了"),"",IF(TODAY()&gt;N46,"超過",IF(TODAY()+3&gt;=N46,"間近","")))</f>
        <v/>
      </c>
      <c r="R46" s="5"/>
      <c r="S46" s="10"/>
      <c r="T46" s="7"/>
    </row>
    <row r="47" customFormat="false" ht="15" hidden="false" customHeight="false" outlineLevel="0" collapsed="false">
      <c r="A47" s="3"/>
      <c r="B47" s="4"/>
      <c r="C47" s="4"/>
      <c r="D47" s="5"/>
      <c r="E47" s="7"/>
      <c r="F47" s="7"/>
      <c r="G47" s="7"/>
      <c r="H47" s="7"/>
      <c r="I47" s="7"/>
      <c r="J47" s="5"/>
      <c r="K47" s="5"/>
      <c r="L47" s="5"/>
      <c r="M47" s="7"/>
      <c r="N47" s="4"/>
      <c r="O47" s="4"/>
      <c r="P47" s="8" t="str">
        <f aca="true">IF(B47="","",IF(O47&lt;&gt;"",O47-B47,TODAY()-B47))</f>
        <v/>
      </c>
      <c r="Q47" s="9" t="str">
        <f aca="true">IF(OR(N47="",L47="完了"),"",IF(TODAY()&gt;N47,"超過",IF(TODAY()+3&gt;=N47,"間近","")))</f>
        <v/>
      </c>
      <c r="R47" s="5"/>
      <c r="S47" s="10"/>
      <c r="T47" s="7"/>
    </row>
    <row r="48" customFormat="false" ht="15" hidden="false" customHeight="false" outlineLevel="0" collapsed="false">
      <c r="A48" s="3"/>
      <c r="B48" s="4"/>
      <c r="C48" s="4"/>
      <c r="D48" s="5"/>
      <c r="E48" s="7"/>
      <c r="F48" s="7"/>
      <c r="G48" s="7"/>
      <c r="H48" s="7"/>
      <c r="I48" s="7"/>
      <c r="J48" s="5"/>
      <c r="K48" s="5"/>
      <c r="L48" s="5"/>
      <c r="M48" s="7"/>
      <c r="N48" s="4"/>
      <c r="O48" s="4"/>
      <c r="P48" s="8" t="str">
        <f aca="true">IF(B48="","",IF(O48&lt;&gt;"",O48-B48,TODAY()-B48))</f>
        <v/>
      </c>
      <c r="Q48" s="9" t="str">
        <f aca="true">IF(OR(N48="",L48="完了"),"",IF(TODAY()&gt;N48,"超過",IF(TODAY()+3&gt;=N48,"間近","")))</f>
        <v/>
      </c>
      <c r="R48" s="5"/>
      <c r="S48" s="10"/>
      <c r="T48" s="7"/>
    </row>
    <row r="49" customFormat="false" ht="15" hidden="false" customHeight="false" outlineLevel="0" collapsed="false">
      <c r="A49" s="3"/>
      <c r="B49" s="4"/>
      <c r="C49" s="4"/>
      <c r="D49" s="5"/>
      <c r="E49" s="7"/>
      <c r="F49" s="7"/>
      <c r="G49" s="7"/>
      <c r="H49" s="7"/>
      <c r="I49" s="7"/>
      <c r="J49" s="5"/>
      <c r="K49" s="5"/>
      <c r="L49" s="5"/>
      <c r="M49" s="7"/>
      <c r="N49" s="4"/>
      <c r="O49" s="4"/>
      <c r="P49" s="8" t="str">
        <f aca="true">IF(B49="","",IF(O49&lt;&gt;"",O49-B49,TODAY()-B49))</f>
        <v/>
      </c>
      <c r="Q49" s="9" t="str">
        <f aca="true">IF(OR(N49="",L49="完了"),"",IF(TODAY()&gt;N49,"超過",IF(TODAY()+3&gt;=N49,"間近","")))</f>
        <v/>
      </c>
      <c r="R49" s="5"/>
      <c r="S49" s="10"/>
      <c r="T49" s="7"/>
    </row>
    <row r="50" customFormat="false" ht="15" hidden="false" customHeight="false" outlineLevel="0" collapsed="false">
      <c r="A50" s="3"/>
      <c r="B50" s="4"/>
      <c r="C50" s="4"/>
      <c r="D50" s="5"/>
      <c r="E50" s="7"/>
      <c r="F50" s="7"/>
      <c r="G50" s="7"/>
      <c r="H50" s="7"/>
      <c r="I50" s="7"/>
      <c r="J50" s="5"/>
      <c r="K50" s="5"/>
      <c r="L50" s="5"/>
      <c r="M50" s="7"/>
      <c r="N50" s="4"/>
      <c r="O50" s="4"/>
      <c r="P50" s="8" t="str">
        <f aca="true">IF(B50="","",IF(O50&lt;&gt;"",O50-B50,TODAY()-B50))</f>
        <v/>
      </c>
      <c r="Q50" s="9" t="str">
        <f aca="true">IF(OR(N50="",L50="完了"),"",IF(TODAY()&gt;N50,"超過",IF(TODAY()+3&gt;=N50,"間近","")))</f>
        <v/>
      </c>
      <c r="R50" s="5"/>
      <c r="S50" s="10"/>
      <c r="T50" s="7"/>
    </row>
    <row r="51" customFormat="false" ht="15" hidden="false" customHeight="false" outlineLevel="0" collapsed="false">
      <c r="A51" s="3"/>
      <c r="B51" s="4"/>
      <c r="C51" s="4"/>
      <c r="D51" s="5"/>
      <c r="E51" s="7"/>
      <c r="F51" s="7"/>
      <c r="G51" s="7"/>
      <c r="H51" s="7"/>
      <c r="I51" s="7"/>
      <c r="J51" s="5"/>
      <c r="K51" s="5"/>
      <c r="L51" s="5"/>
      <c r="M51" s="7"/>
      <c r="N51" s="4"/>
      <c r="O51" s="4"/>
      <c r="P51" s="8" t="str">
        <f aca="true">IF(B51="","",IF(O51&lt;&gt;"",O51-B51,TODAY()-B51))</f>
        <v/>
      </c>
      <c r="Q51" s="9" t="str">
        <f aca="true">IF(OR(N51="",L51="完了"),"",IF(TODAY()&gt;N51,"超過",IF(TODAY()+3&gt;=N51,"間近","")))</f>
        <v/>
      </c>
      <c r="R51" s="5"/>
      <c r="S51" s="10"/>
      <c r="T51" s="7"/>
    </row>
    <row r="52" customFormat="false" ht="15" hidden="false" customHeight="false" outlineLevel="0" collapsed="false">
      <c r="A52" s="3"/>
      <c r="B52" s="4"/>
      <c r="C52" s="4"/>
      <c r="D52" s="5"/>
      <c r="E52" s="7"/>
      <c r="F52" s="7"/>
      <c r="G52" s="7"/>
      <c r="H52" s="7"/>
      <c r="I52" s="7"/>
      <c r="J52" s="5"/>
      <c r="K52" s="5"/>
      <c r="L52" s="5"/>
      <c r="M52" s="7"/>
      <c r="N52" s="4"/>
      <c r="O52" s="4"/>
      <c r="P52" s="8" t="str">
        <f aca="true">IF(B52="","",IF(O52&lt;&gt;"",O52-B52,TODAY()-B52))</f>
        <v/>
      </c>
      <c r="Q52" s="9" t="str">
        <f aca="true">IF(OR(N52="",L52="完了"),"",IF(TODAY()&gt;N52,"超過",IF(TODAY()+3&gt;=N52,"間近","")))</f>
        <v/>
      </c>
      <c r="R52" s="5"/>
      <c r="S52" s="10"/>
      <c r="T52" s="7"/>
    </row>
    <row r="53" customFormat="false" ht="15" hidden="false" customHeight="false" outlineLevel="0" collapsed="false">
      <c r="A53" s="3"/>
      <c r="B53" s="4"/>
      <c r="C53" s="4"/>
      <c r="D53" s="5"/>
      <c r="E53" s="7"/>
      <c r="F53" s="7"/>
      <c r="G53" s="7"/>
      <c r="H53" s="7"/>
      <c r="I53" s="7"/>
      <c r="J53" s="5"/>
      <c r="K53" s="5"/>
      <c r="L53" s="5"/>
      <c r="M53" s="7"/>
      <c r="N53" s="4"/>
      <c r="O53" s="4"/>
      <c r="P53" s="8" t="str">
        <f aca="true">IF(B53="","",IF(O53&lt;&gt;"",O53-B53,TODAY()-B53))</f>
        <v/>
      </c>
      <c r="Q53" s="9" t="str">
        <f aca="true">IF(OR(N53="",L53="完了"),"",IF(TODAY()&gt;N53,"超過",IF(TODAY()+3&gt;=N53,"間近","")))</f>
        <v/>
      </c>
      <c r="R53" s="5"/>
      <c r="S53" s="10"/>
      <c r="T53" s="7"/>
    </row>
    <row r="54" customFormat="false" ht="15" hidden="false" customHeight="false" outlineLevel="0" collapsed="false">
      <c r="A54" s="3"/>
      <c r="B54" s="4"/>
      <c r="C54" s="4"/>
      <c r="D54" s="5"/>
      <c r="E54" s="7"/>
      <c r="F54" s="7"/>
      <c r="G54" s="7"/>
      <c r="H54" s="7"/>
      <c r="I54" s="7"/>
      <c r="J54" s="5"/>
      <c r="K54" s="5"/>
      <c r="L54" s="5"/>
      <c r="M54" s="7"/>
      <c r="N54" s="4"/>
      <c r="O54" s="4"/>
      <c r="P54" s="8" t="str">
        <f aca="true">IF(B54="","",IF(O54&lt;&gt;"",O54-B54,TODAY()-B54))</f>
        <v/>
      </c>
      <c r="Q54" s="9" t="str">
        <f aca="true">IF(OR(N54="",L54="完了"),"",IF(TODAY()&gt;N54,"超過",IF(TODAY()+3&gt;=N54,"間近","")))</f>
        <v/>
      </c>
      <c r="R54" s="5"/>
      <c r="S54" s="10"/>
      <c r="T54" s="7"/>
    </row>
    <row r="55" customFormat="false" ht="15" hidden="false" customHeight="false" outlineLevel="0" collapsed="false">
      <c r="A55" s="3"/>
      <c r="B55" s="4"/>
      <c r="C55" s="4"/>
      <c r="D55" s="5"/>
      <c r="E55" s="7"/>
      <c r="F55" s="7"/>
      <c r="G55" s="7"/>
      <c r="H55" s="7"/>
      <c r="I55" s="7"/>
      <c r="J55" s="5"/>
      <c r="K55" s="5"/>
      <c r="L55" s="5"/>
      <c r="M55" s="7"/>
      <c r="N55" s="4"/>
      <c r="O55" s="4"/>
      <c r="P55" s="8" t="str">
        <f aca="true">IF(B55="","",IF(O55&lt;&gt;"",O55-B55,TODAY()-B55))</f>
        <v/>
      </c>
      <c r="Q55" s="9" t="str">
        <f aca="true">IF(OR(N55="",L55="完了"),"",IF(TODAY()&gt;N55,"超過",IF(TODAY()+3&gt;=N55,"間近","")))</f>
        <v/>
      </c>
      <c r="R55" s="5"/>
      <c r="S55" s="10"/>
      <c r="T55" s="7"/>
    </row>
    <row r="56" customFormat="false" ht="15" hidden="false" customHeight="false" outlineLevel="0" collapsed="false">
      <c r="A56" s="3"/>
      <c r="B56" s="4"/>
      <c r="C56" s="4"/>
      <c r="D56" s="5"/>
      <c r="E56" s="7"/>
      <c r="F56" s="7"/>
      <c r="G56" s="7"/>
      <c r="H56" s="7"/>
      <c r="I56" s="7"/>
      <c r="J56" s="5"/>
      <c r="K56" s="5"/>
      <c r="L56" s="5"/>
      <c r="M56" s="7"/>
      <c r="N56" s="4"/>
      <c r="O56" s="4"/>
      <c r="P56" s="8" t="str">
        <f aca="true">IF(B56="","",IF(O56&lt;&gt;"",O56-B56,TODAY()-B56))</f>
        <v/>
      </c>
      <c r="Q56" s="9" t="str">
        <f aca="true">IF(OR(N56="",L56="完了"),"",IF(TODAY()&gt;N56,"超過",IF(TODAY()+3&gt;=N56,"間近","")))</f>
        <v/>
      </c>
      <c r="R56" s="5"/>
      <c r="S56" s="10"/>
      <c r="T56" s="7"/>
    </row>
    <row r="57" customFormat="false" ht="15" hidden="false" customHeight="false" outlineLevel="0" collapsed="false">
      <c r="A57" s="3"/>
      <c r="B57" s="4"/>
      <c r="C57" s="4"/>
      <c r="D57" s="5"/>
      <c r="E57" s="7"/>
      <c r="F57" s="7"/>
      <c r="G57" s="7"/>
      <c r="H57" s="7"/>
      <c r="I57" s="7"/>
      <c r="J57" s="5"/>
      <c r="K57" s="5"/>
      <c r="L57" s="5"/>
      <c r="M57" s="7"/>
      <c r="N57" s="4"/>
      <c r="O57" s="4"/>
      <c r="P57" s="8" t="str">
        <f aca="true">IF(B57="","",IF(O57&lt;&gt;"",O57-B57,TODAY()-B57))</f>
        <v/>
      </c>
      <c r="Q57" s="9" t="str">
        <f aca="true">IF(OR(N57="",L57="完了"),"",IF(TODAY()&gt;N57,"超過",IF(TODAY()+3&gt;=N57,"間近","")))</f>
        <v/>
      </c>
      <c r="R57" s="5"/>
      <c r="S57" s="10"/>
      <c r="T57" s="7"/>
    </row>
    <row r="58" customFormat="false" ht="15" hidden="false" customHeight="false" outlineLevel="0" collapsed="false">
      <c r="A58" s="3"/>
      <c r="B58" s="4"/>
      <c r="C58" s="4"/>
      <c r="D58" s="5"/>
      <c r="E58" s="7"/>
      <c r="F58" s="7"/>
      <c r="G58" s="7"/>
      <c r="H58" s="7"/>
      <c r="I58" s="7"/>
      <c r="J58" s="5"/>
      <c r="K58" s="5"/>
      <c r="L58" s="5"/>
      <c r="M58" s="7"/>
      <c r="N58" s="4"/>
      <c r="O58" s="4"/>
      <c r="P58" s="8" t="str">
        <f aca="true">IF(B58="","",IF(O58&lt;&gt;"",O58-B58,TODAY()-B58))</f>
        <v/>
      </c>
      <c r="Q58" s="9" t="str">
        <f aca="true">IF(OR(N58="",L58="完了"),"",IF(TODAY()&gt;N58,"超過",IF(TODAY()+3&gt;=N58,"間近","")))</f>
        <v/>
      </c>
      <c r="R58" s="5"/>
      <c r="S58" s="10"/>
      <c r="T58" s="7"/>
    </row>
    <row r="59" customFormat="false" ht="15" hidden="false" customHeight="false" outlineLevel="0" collapsed="false">
      <c r="A59" s="3"/>
      <c r="B59" s="4"/>
      <c r="C59" s="4"/>
      <c r="D59" s="5"/>
      <c r="E59" s="7"/>
      <c r="F59" s="7"/>
      <c r="G59" s="7"/>
      <c r="H59" s="7"/>
      <c r="I59" s="7"/>
      <c r="J59" s="5"/>
      <c r="K59" s="5"/>
      <c r="L59" s="5"/>
      <c r="M59" s="7"/>
      <c r="N59" s="4"/>
      <c r="O59" s="4"/>
      <c r="P59" s="8" t="str">
        <f aca="true">IF(B59="","",IF(O59&lt;&gt;"",O59-B59,TODAY()-B59))</f>
        <v/>
      </c>
      <c r="Q59" s="9" t="str">
        <f aca="true">IF(OR(N59="",L59="完了"),"",IF(TODAY()&gt;N59,"超過",IF(TODAY()+3&gt;=N59,"間近","")))</f>
        <v/>
      </c>
      <c r="R59" s="5"/>
      <c r="S59" s="10"/>
      <c r="T59" s="7"/>
    </row>
    <row r="60" customFormat="false" ht="15" hidden="false" customHeight="false" outlineLevel="0" collapsed="false">
      <c r="A60" s="3"/>
      <c r="B60" s="4"/>
      <c r="C60" s="4"/>
      <c r="D60" s="5"/>
      <c r="E60" s="7"/>
      <c r="F60" s="7"/>
      <c r="G60" s="7"/>
      <c r="H60" s="7"/>
      <c r="I60" s="7"/>
      <c r="J60" s="5"/>
      <c r="K60" s="5"/>
      <c r="L60" s="5"/>
      <c r="M60" s="7"/>
      <c r="N60" s="4"/>
      <c r="O60" s="4"/>
      <c r="P60" s="8" t="str">
        <f aca="true">IF(B60="","",IF(O60&lt;&gt;"",O60-B60,TODAY()-B60))</f>
        <v/>
      </c>
      <c r="Q60" s="9" t="str">
        <f aca="true">IF(OR(N60="",L60="完了"),"",IF(TODAY()&gt;N60,"超過",IF(TODAY()+3&gt;=N60,"間近","")))</f>
        <v/>
      </c>
      <c r="R60" s="5"/>
      <c r="S60" s="10"/>
      <c r="T60" s="7"/>
    </row>
    <row r="61" customFormat="false" ht="15" hidden="false" customHeight="false" outlineLevel="0" collapsed="false">
      <c r="A61" s="3"/>
      <c r="B61" s="4"/>
      <c r="C61" s="4"/>
      <c r="D61" s="5"/>
      <c r="E61" s="7"/>
      <c r="F61" s="7"/>
      <c r="G61" s="7"/>
      <c r="H61" s="7"/>
      <c r="I61" s="7"/>
      <c r="J61" s="5"/>
      <c r="K61" s="5"/>
      <c r="L61" s="5"/>
      <c r="M61" s="7"/>
      <c r="N61" s="4"/>
      <c r="O61" s="4"/>
      <c r="P61" s="8" t="str">
        <f aca="true">IF(B61="","",IF(O61&lt;&gt;"",O61-B61,TODAY()-B61))</f>
        <v/>
      </c>
      <c r="Q61" s="9" t="str">
        <f aca="true">IF(OR(N61="",L61="完了"),"",IF(TODAY()&gt;N61,"超過",IF(TODAY()+3&gt;=N61,"間近","")))</f>
        <v/>
      </c>
      <c r="R61" s="5"/>
      <c r="S61" s="10"/>
      <c r="T61" s="7"/>
    </row>
    <row r="62" customFormat="false" ht="15" hidden="false" customHeight="false" outlineLevel="0" collapsed="false">
      <c r="A62" s="3"/>
      <c r="B62" s="4"/>
      <c r="C62" s="4"/>
      <c r="D62" s="5"/>
      <c r="E62" s="7"/>
      <c r="F62" s="7"/>
      <c r="G62" s="7"/>
      <c r="H62" s="7"/>
      <c r="I62" s="7"/>
      <c r="J62" s="5"/>
      <c r="K62" s="5"/>
      <c r="L62" s="5"/>
      <c r="M62" s="7"/>
      <c r="N62" s="4"/>
      <c r="O62" s="4"/>
      <c r="P62" s="8" t="str">
        <f aca="true">IF(B62="","",IF(O62&lt;&gt;"",O62-B62,TODAY()-B62))</f>
        <v/>
      </c>
      <c r="Q62" s="9" t="str">
        <f aca="true">IF(OR(N62="",L62="完了"),"",IF(TODAY()&gt;N62,"超過",IF(TODAY()+3&gt;=N62,"間近","")))</f>
        <v/>
      </c>
      <c r="R62" s="5"/>
      <c r="S62" s="10"/>
      <c r="T62" s="7"/>
    </row>
    <row r="63" customFormat="false" ht="15" hidden="false" customHeight="false" outlineLevel="0" collapsed="false">
      <c r="A63" s="3"/>
      <c r="B63" s="4"/>
      <c r="C63" s="4"/>
      <c r="D63" s="5"/>
      <c r="E63" s="7"/>
      <c r="F63" s="7"/>
      <c r="G63" s="7"/>
      <c r="H63" s="7"/>
      <c r="I63" s="7"/>
      <c r="J63" s="5"/>
      <c r="K63" s="5"/>
      <c r="L63" s="5"/>
      <c r="M63" s="7"/>
      <c r="N63" s="4"/>
      <c r="O63" s="4"/>
      <c r="P63" s="8" t="str">
        <f aca="true">IF(B63="","",IF(O63&lt;&gt;"",O63-B63,TODAY()-B63))</f>
        <v/>
      </c>
      <c r="Q63" s="9" t="str">
        <f aca="true">IF(OR(N63="",L63="完了"),"",IF(TODAY()&gt;N63,"超過",IF(TODAY()+3&gt;=N63,"間近","")))</f>
        <v/>
      </c>
      <c r="R63" s="5"/>
      <c r="S63" s="10"/>
      <c r="T63" s="7"/>
    </row>
    <row r="64" customFormat="false" ht="15" hidden="false" customHeight="false" outlineLevel="0" collapsed="false">
      <c r="A64" s="3"/>
      <c r="B64" s="4"/>
      <c r="C64" s="4"/>
      <c r="D64" s="5"/>
      <c r="E64" s="7"/>
      <c r="F64" s="7"/>
      <c r="G64" s="7"/>
      <c r="H64" s="7"/>
      <c r="I64" s="7"/>
      <c r="J64" s="5"/>
      <c r="K64" s="5"/>
      <c r="L64" s="5"/>
      <c r="M64" s="7"/>
      <c r="N64" s="4"/>
      <c r="O64" s="4"/>
      <c r="P64" s="8" t="str">
        <f aca="true">IF(B64="","",IF(O64&lt;&gt;"",O64-B64,TODAY()-B64))</f>
        <v/>
      </c>
      <c r="Q64" s="9" t="str">
        <f aca="true">IF(OR(N64="",L64="完了"),"",IF(TODAY()&gt;N64,"超過",IF(TODAY()+3&gt;=N64,"間近","")))</f>
        <v/>
      </c>
      <c r="R64" s="5"/>
      <c r="S64" s="10"/>
      <c r="T64" s="7"/>
    </row>
    <row r="65" customFormat="false" ht="15" hidden="false" customHeight="false" outlineLevel="0" collapsed="false">
      <c r="A65" s="3"/>
      <c r="B65" s="4"/>
      <c r="C65" s="4"/>
      <c r="D65" s="5"/>
      <c r="E65" s="7"/>
      <c r="F65" s="7"/>
      <c r="G65" s="7"/>
      <c r="H65" s="7"/>
      <c r="I65" s="7"/>
      <c r="J65" s="5"/>
      <c r="K65" s="5"/>
      <c r="L65" s="5"/>
      <c r="M65" s="7"/>
      <c r="N65" s="4"/>
      <c r="O65" s="4"/>
      <c r="P65" s="8" t="str">
        <f aca="true">IF(B65="","",IF(O65&lt;&gt;"",O65-B65,TODAY()-B65))</f>
        <v/>
      </c>
      <c r="Q65" s="9" t="str">
        <f aca="true">IF(OR(N65="",L65="完了"),"",IF(TODAY()&gt;N65,"超過",IF(TODAY()+3&gt;=N65,"間近","")))</f>
        <v/>
      </c>
      <c r="R65" s="5"/>
      <c r="S65" s="10"/>
      <c r="T65" s="7"/>
    </row>
    <row r="66" customFormat="false" ht="15" hidden="false" customHeight="false" outlineLevel="0" collapsed="false">
      <c r="A66" s="3"/>
      <c r="B66" s="4"/>
      <c r="C66" s="4"/>
      <c r="D66" s="5"/>
      <c r="E66" s="7"/>
      <c r="F66" s="7"/>
      <c r="G66" s="7"/>
      <c r="H66" s="7"/>
      <c r="I66" s="7"/>
      <c r="J66" s="5"/>
      <c r="K66" s="5"/>
      <c r="L66" s="5"/>
      <c r="M66" s="7"/>
      <c r="N66" s="4"/>
      <c r="O66" s="4"/>
      <c r="P66" s="8" t="str">
        <f aca="true">IF(B66="","",IF(O66&lt;&gt;"",O66-B66,TODAY()-B66))</f>
        <v/>
      </c>
      <c r="Q66" s="9" t="str">
        <f aca="true">IF(OR(N66="",L66="完了"),"",IF(TODAY()&gt;N66,"超過",IF(TODAY()+3&gt;=N66,"間近","")))</f>
        <v/>
      </c>
      <c r="R66" s="5"/>
      <c r="S66" s="10"/>
      <c r="T66" s="7"/>
    </row>
    <row r="67" customFormat="false" ht="15" hidden="false" customHeight="false" outlineLevel="0" collapsed="false">
      <c r="A67" s="3"/>
      <c r="B67" s="4"/>
      <c r="C67" s="4"/>
      <c r="D67" s="5"/>
      <c r="E67" s="7"/>
      <c r="F67" s="7"/>
      <c r="G67" s="7"/>
      <c r="H67" s="7"/>
      <c r="I67" s="7"/>
      <c r="J67" s="5"/>
      <c r="K67" s="5"/>
      <c r="L67" s="5"/>
      <c r="M67" s="7"/>
      <c r="N67" s="4"/>
      <c r="O67" s="4"/>
      <c r="P67" s="8" t="str">
        <f aca="true">IF(B67="","",IF(O67&lt;&gt;"",O67-B67,TODAY()-B67))</f>
        <v/>
      </c>
      <c r="Q67" s="9" t="str">
        <f aca="true">IF(OR(N67="",L67="完了"),"",IF(TODAY()&gt;N67,"超過",IF(TODAY()+3&gt;=N67,"間近","")))</f>
        <v/>
      </c>
      <c r="R67" s="5"/>
      <c r="S67" s="10"/>
      <c r="T67" s="7"/>
    </row>
    <row r="68" customFormat="false" ht="15" hidden="false" customHeight="false" outlineLevel="0" collapsed="false">
      <c r="A68" s="3"/>
      <c r="B68" s="4"/>
      <c r="C68" s="4"/>
      <c r="D68" s="5"/>
      <c r="E68" s="7"/>
      <c r="F68" s="7"/>
      <c r="G68" s="7"/>
      <c r="H68" s="7"/>
      <c r="I68" s="7"/>
      <c r="J68" s="5"/>
      <c r="K68" s="5"/>
      <c r="L68" s="5"/>
      <c r="M68" s="7"/>
      <c r="N68" s="4"/>
      <c r="O68" s="4"/>
      <c r="P68" s="8" t="str">
        <f aca="true">IF(B68="","",IF(O68&lt;&gt;"",O68-B68,TODAY()-B68))</f>
        <v/>
      </c>
      <c r="Q68" s="9" t="str">
        <f aca="true">IF(OR(N68="",L68="完了"),"",IF(TODAY()&gt;N68,"超過",IF(TODAY()+3&gt;=N68,"間近","")))</f>
        <v/>
      </c>
      <c r="R68" s="5"/>
      <c r="S68" s="10"/>
      <c r="T68" s="7"/>
    </row>
    <row r="69" customFormat="false" ht="15" hidden="false" customHeight="false" outlineLevel="0" collapsed="false">
      <c r="A69" s="3"/>
      <c r="B69" s="4"/>
      <c r="C69" s="4"/>
      <c r="D69" s="5"/>
      <c r="E69" s="7"/>
      <c r="F69" s="7"/>
      <c r="G69" s="7"/>
      <c r="H69" s="7"/>
      <c r="I69" s="7"/>
      <c r="J69" s="5"/>
      <c r="K69" s="5"/>
      <c r="L69" s="5"/>
      <c r="M69" s="7"/>
      <c r="N69" s="4"/>
      <c r="O69" s="4"/>
      <c r="P69" s="8" t="str">
        <f aca="true">IF(B69="","",IF(O69&lt;&gt;"",O69-B69,TODAY()-B69))</f>
        <v/>
      </c>
      <c r="Q69" s="9" t="str">
        <f aca="true">IF(OR(N69="",L69="完了"),"",IF(TODAY()&gt;N69,"超過",IF(TODAY()+3&gt;=N69,"間近","")))</f>
        <v/>
      </c>
      <c r="R69" s="5"/>
      <c r="S69" s="10"/>
      <c r="T69" s="7"/>
    </row>
    <row r="70" customFormat="false" ht="15" hidden="false" customHeight="false" outlineLevel="0" collapsed="false">
      <c r="A70" s="3"/>
      <c r="B70" s="4"/>
      <c r="C70" s="4"/>
      <c r="D70" s="5"/>
      <c r="E70" s="7"/>
      <c r="F70" s="7"/>
      <c r="G70" s="7"/>
      <c r="H70" s="7"/>
      <c r="I70" s="7"/>
      <c r="J70" s="5"/>
      <c r="K70" s="5"/>
      <c r="L70" s="5"/>
      <c r="M70" s="7"/>
      <c r="N70" s="4"/>
      <c r="O70" s="4"/>
      <c r="P70" s="8" t="str">
        <f aca="true">IF(B70="","",IF(O70&lt;&gt;"",O70-B70,TODAY()-B70))</f>
        <v/>
      </c>
      <c r="Q70" s="9" t="str">
        <f aca="true">IF(OR(N70="",L70="完了"),"",IF(TODAY()&gt;N70,"超過",IF(TODAY()+3&gt;=N70,"間近","")))</f>
        <v/>
      </c>
      <c r="R70" s="5"/>
      <c r="S70" s="10"/>
      <c r="T70" s="7"/>
    </row>
    <row r="71" customFormat="false" ht="15" hidden="false" customHeight="false" outlineLevel="0" collapsed="false">
      <c r="A71" s="3"/>
      <c r="B71" s="4"/>
      <c r="C71" s="4"/>
      <c r="D71" s="5"/>
      <c r="E71" s="7"/>
      <c r="F71" s="7"/>
      <c r="G71" s="7"/>
      <c r="H71" s="7"/>
      <c r="I71" s="7"/>
      <c r="J71" s="5"/>
      <c r="K71" s="5"/>
      <c r="L71" s="5"/>
      <c r="M71" s="7"/>
      <c r="N71" s="4"/>
      <c r="O71" s="4"/>
      <c r="P71" s="8" t="str">
        <f aca="true">IF(B71="","",IF(O71&lt;&gt;"",O71-B71,TODAY()-B71))</f>
        <v/>
      </c>
      <c r="Q71" s="9" t="str">
        <f aca="true">IF(OR(N71="",L71="完了"),"",IF(TODAY()&gt;N71,"超過",IF(TODAY()+3&gt;=N71,"間近","")))</f>
        <v/>
      </c>
      <c r="R71" s="5"/>
      <c r="S71" s="10"/>
      <c r="T71" s="7"/>
    </row>
    <row r="72" customFormat="false" ht="15" hidden="false" customHeight="false" outlineLevel="0" collapsed="false">
      <c r="A72" s="3"/>
      <c r="B72" s="4"/>
      <c r="C72" s="4"/>
      <c r="D72" s="5"/>
      <c r="E72" s="7"/>
      <c r="F72" s="7"/>
      <c r="G72" s="7"/>
      <c r="H72" s="7"/>
      <c r="I72" s="7"/>
      <c r="J72" s="5"/>
      <c r="K72" s="5"/>
      <c r="L72" s="5"/>
      <c r="M72" s="7"/>
      <c r="N72" s="4"/>
      <c r="O72" s="4"/>
      <c r="P72" s="8" t="str">
        <f aca="true">IF(B72="","",IF(O72&lt;&gt;"",O72-B72,TODAY()-B72))</f>
        <v/>
      </c>
      <c r="Q72" s="9" t="str">
        <f aca="true">IF(OR(N72="",L72="完了"),"",IF(TODAY()&gt;N72,"超過",IF(TODAY()+3&gt;=N72,"間近","")))</f>
        <v/>
      </c>
      <c r="R72" s="5"/>
      <c r="S72" s="10"/>
      <c r="T72" s="7"/>
    </row>
    <row r="73" customFormat="false" ht="15" hidden="false" customHeight="false" outlineLevel="0" collapsed="false">
      <c r="A73" s="3"/>
      <c r="B73" s="4"/>
      <c r="C73" s="4"/>
      <c r="D73" s="5"/>
      <c r="E73" s="7"/>
      <c r="F73" s="7"/>
      <c r="G73" s="7"/>
      <c r="H73" s="7"/>
      <c r="I73" s="7"/>
      <c r="J73" s="5"/>
      <c r="K73" s="5"/>
      <c r="L73" s="5"/>
      <c r="M73" s="7"/>
      <c r="N73" s="4"/>
      <c r="O73" s="4"/>
      <c r="P73" s="8" t="str">
        <f aca="true">IF(B73="","",IF(O73&lt;&gt;"",O73-B73,TODAY()-B73))</f>
        <v/>
      </c>
      <c r="Q73" s="9" t="str">
        <f aca="true">IF(OR(N73="",L73="完了"),"",IF(TODAY()&gt;N73,"超過",IF(TODAY()+3&gt;=N73,"間近","")))</f>
        <v/>
      </c>
      <c r="R73" s="5"/>
      <c r="S73" s="10"/>
      <c r="T73" s="7"/>
    </row>
    <row r="74" customFormat="false" ht="15" hidden="false" customHeight="false" outlineLevel="0" collapsed="false">
      <c r="A74" s="3"/>
      <c r="B74" s="4"/>
      <c r="C74" s="4"/>
      <c r="D74" s="5"/>
      <c r="E74" s="7"/>
      <c r="F74" s="7"/>
      <c r="G74" s="7"/>
      <c r="H74" s="7"/>
      <c r="I74" s="7"/>
      <c r="J74" s="5"/>
      <c r="K74" s="5"/>
      <c r="L74" s="5"/>
      <c r="M74" s="7"/>
      <c r="N74" s="4"/>
      <c r="O74" s="4"/>
      <c r="P74" s="8" t="str">
        <f aca="true">IF(B74="","",IF(O74&lt;&gt;"",O74-B74,TODAY()-B74))</f>
        <v/>
      </c>
      <c r="Q74" s="9" t="str">
        <f aca="true">IF(OR(N74="",L74="完了"),"",IF(TODAY()&gt;N74,"超過",IF(TODAY()+3&gt;=N74,"間近","")))</f>
        <v/>
      </c>
      <c r="R74" s="5"/>
      <c r="S74" s="10"/>
      <c r="T74" s="7"/>
    </row>
    <row r="75" customFormat="false" ht="15" hidden="false" customHeight="false" outlineLevel="0" collapsed="false">
      <c r="A75" s="3"/>
      <c r="B75" s="4"/>
      <c r="C75" s="4"/>
      <c r="D75" s="5"/>
      <c r="E75" s="7"/>
      <c r="F75" s="7"/>
      <c r="G75" s="7"/>
      <c r="H75" s="7"/>
      <c r="I75" s="7"/>
      <c r="J75" s="5"/>
      <c r="K75" s="5"/>
      <c r="L75" s="5"/>
      <c r="M75" s="7"/>
      <c r="N75" s="4"/>
      <c r="O75" s="4"/>
      <c r="P75" s="8" t="str">
        <f aca="true">IF(B75="","",IF(O75&lt;&gt;"",O75-B75,TODAY()-B75))</f>
        <v/>
      </c>
      <c r="Q75" s="9" t="str">
        <f aca="true">IF(OR(N75="",L75="完了"),"",IF(TODAY()&gt;N75,"超過",IF(TODAY()+3&gt;=N75,"間近","")))</f>
        <v/>
      </c>
      <c r="R75" s="5"/>
      <c r="S75" s="10"/>
      <c r="T75" s="7"/>
    </row>
    <row r="76" customFormat="false" ht="15" hidden="false" customHeight="false" outlineLevel="0" collapsed="false">
      <c r="A76" s="3"/>
      <c r="B76" s="4"/>
      <c r="C76" s="4"/>
      <c r="D76" s="5"/>
      <c r="E76" s="7"/>
      <c r="F76" s="7"/>
      <c r="G76" s="7"/>
      <c r="H76" s="7"/>
      <c r="I76" s="7"/>
      <c r="J76" s="5"/>
      <c r="K76" s="5"/>
      <c r="L76" s="5"/>
      <c r="M76" s="7"/>
      <c r="N76" s="4"/>
      <c r="O76" s="4"/>
      <c r="P76" s="8" t="str">
        <f aca="true">IF(B76="","",IF(O76&lt;&gt;"",O76-B76,TODAY()-B76))</f>
        <v/>
      </c>
      <c r="Q76" s="9" t="str">
        <f aca="true">IF(OR(N76="",L76="完了"),"",IF(TODAY()&gt;N76,"超過",IF(TODAY()+3&gt;=N76,"間近","")))</f>
        <v/>
      </c>
      <c r="R76" s="5"/>
      <c r="S76" s="10"/>
      <c r="T76" s="7"/>
    </row>
    <row r="77" customFormat="false" ht="15" hidden="false" customHeight="false" outlineLevel="0" collapsed="false">
      <c r="A77" s="3"/>
      <c r="B77" s="4"/>
      <c r="C77" s="4"/>
      <c r="D77" s="5"/>
      <c r="E77" s="7"/>
      <c r="F77" s="7"/>
      <c r="G77" s="7"/>
      <c r="H77" s="7"/>
      <c r="I77" s="7"/>
      <c r="J77" s="5"/>
      <c r="K77" s="5"/>
      <c r="L77" s="5"/>
      <c r="M77" s="7"/>
      <c r="N77" s="4"/>
      <c r="O77" s="4"/>
      <c r="P77" s="8" t="str">
        <f aca="true">IF(B77="","",IF(O77&lt;&gt;"",O77-B77,TODAY()-B77))</f>
        <v/>
      </c>
      <c r="Q77" s="9" t="str">
        <f aca="true">IF(OR(N77="",L77="完了"),"",IF(TODAY()&gt;N77,"超過",IF(TODAY()+3&gt;=N77,"間近","")))</f>
        <v/>
      </c>
      <c r="R77" s="5"/>
      <c r="S77" s="10"/>
      <c r="T77" s="7"/>
    </row>
    <row r="78" customFormat="false" ht="15" hidden="false" customHeight="false" outlineLevel="0" collapsed="false">
      <c r="A78" s="3"/>
      <c r="B78" s="4"/>
      <c r="C78" s="4"/>
      <c r="D78" s="5"/>
      <c r="E78" s="7"/>
      <c r="F78" s="7"/>
      <c r="G78" s="7"/>
      <c r="H78" s="7"/>
      <c r="I78" s="7"/>
      <c r="J78" s="5"/>
      <c r="K78" s="5"/>
      <c r="L78" s="5"/>
      <c r="M78" s="7"/>
      <c r="N78" s="4"/>
      <c r="O78" s="4"/>
      <c r="P78" s="8" t="str">
        <f aca="true">IF(B78="","",IF(O78&lt;&gt;"",O78-B78,TODAY()-B78))</f>
        <v/>
      </c>
      <c r="Q78" s="9" t="str">
        <f aca="true">IF(OR(N78="",L78="完了"),"",IF(TODAY()&gt;N78,"超過",IF(TODAY()+3&gt;=N78,"間近","")))</f>
        <v/>
      </c>
      <c r="R78" s="5"/>
      <c r="S78" s="10"/>
      <c r="T78" s="7"/>
    </row>
    <row r="79" customFormat="false" ht="15" hidden="false" customHeight="false" outlineLevel="0" collapsed="false">
      <c r="A79" s="3"/>
      <c r="B79" s="4"/>
      <c r="C79" s="4"/>
      <c r="D79" s="5"/>
      <c r="E79" s="7"/>
      <c r="F79" s="7"/>
      <c r="G79" s="7"/>
      <c r="H79" s="7"/>
      <c r="I79" s="7"/>
      <c r="J79" s="5"/>
      <c r="K79" s="5"/>
      <c r="L79" s="5"/>
      <c r="M79" s="7"/>
      <c r="N79" s="4"/>
      <c r="O79" s="4"/>
      <c r="P79" s="8" t="str">
        <f aca="true">IF(B79="","",IF(O79&lt;&gt;"",O79-B79,TODAY()-B79))</f>
        <v/>
      </c>
      <c r="Q79" s="9" t="str">
        <f aca="true">IF(OR(N79="",L79="完了"),"",IF(TODAY()&gt;N79,"超過",IF(TODAY()+3&gt;=N79,"間近","")))</f>
        <v/>
      </c>
      <c r="R79" s="5"/>
      <c r="S79" s="10"/>
      <c r="T79" s="7"/>
    </row>
    <row r="80" customFormat="false" ht="15" hidden="false" customHeight="false" outlineLevel="0" collapsed="false">
      <c r="A80" s="3"/>
      <c r="B80" s="4"/>
      <c r="C80" s="4"/>
      <c r="D80" s="5"/>
      <c r="E80" s="7"/>
      <c r="F80" s="7"/>
      <c r="G80" s="7"/>
      <c r="H80" s="7"/>
      <c r="I80" s="7"/>
      <c r="J80" s="5"/>
      <c r="K80" s="5"/>
      <c r="L80" s="5"/>
      <c r="M80" s="7"/>
      <c r="N80" s="4"/>
      <c r="O80" s="4"/>
      <c r="P80" s="8" t="str">
        <f aca="true">IF(B80="","",IF(O80&lt;&gt;"",O80-B80,TODAY()-B80))</f>
        <v/>
      </c>
      <c r="Q80" s="9" t="str">
        <f aca="true">IF(OR(N80="",L80="完了"),"",IF(TODAY()&gt;N80,"超過",IF(TODAY()+3&gt;=N80,"間近","")))</f>
        <v/>
      </c>
      <c r="R80" s="5"/>
      <c r="S80" s="10"/>
      <c r="T80" s="7"/>
    </row>
    <row r="81" customFormat="false" ht="15" hidden="false" customHeight="false" outlineLevel="0" collapsed="false">
      <c r="A81" s="3"/>
      <c r="B81" s="4"/>
      <c r="C81" s="4"/>
      <c r="D81" s="5"/>
      <c r="E81" s="7"/>
      <c r="F81" s="7"/>
      <c r="G81" s="7"/>
      <c r="H81" s="7"/>
      <c r="I81" s="7"/>
      <c r="J81" s="5"/>
      <c r="K81" s="5"/>
      <c r="L81" s="5"/>
      <c r="M81" s="7"/>
      <c r="N81" s="4"/>
      <c r="O81" s="4"/>
      <c r="P81" s="8" t="str">
        <f aca="true">IF(B81="","",IF(O81&lt;&gt;"",O81-B81,TODAY()-B81))</f>
        <v/>
      </c>
      <c r="Q81" s="9" t="str">
        <f aca="true">IF(OR(N81="",L81="完了"),"",IF(TODAY()&gt;N81,"超過",IF(TODAY()+3&gt;=N81,"間近","")))</f>
        <v/>
      </c>
      <c r="R81" s="5"/>
      <c r="S81" s="10"/>
      <c r="T81" s="7"/>
    </row>
    <row r="82" customFormat="false" ht="15" hidden="false" customHeight="false" outlineLevel="0" collapsed="false">
      <c r="A82" s="3"/>
      <c r="B82" s="4"/>
      <c r="C82" s="4"/>
      <c r="D82" s="5"/>
      <c r="E82" s="7"/>
      <c r="F82" s="7"/>
      <c r="G82" s="7"/>
      <c r="H82" s="7"/>
      <c r="I82" s="7"/>
      <c r="J82" s="5"/>
      <c r="K82" s="5"/>
      <c r="L82" s="5"/>
      <c r="M82" s="7"/>
      <c r="N82" s="4"/>
      <c r="O82" s="4"/>
      <c r="P82" s="8" t="str">
        <f aca="true">IF(B82="","",IF(O82&lt;&gt;"",O82-B82,TODAY()-B82))</f>
        <v/>
      </c>
      <c r="Q82" s="9" t="str">
        <f aca="true">IF(OR(N82="",L82="完了"),"",IF(TODAY()&gt;N82,"超過",IF(TODAY()+3&gt;=N82,"間近","")))</f>
        <v/>
      </c>
      <c r="R82" s="5"/>
      <c r="S82" s="10"/>
      <c r="T82" s="7"/>
    </row>
    <row r="83" customFormat="false" ht="15" hidden="false" customHeight="false" outlineLevel="0" collapsed="false">
      <c r="A83" s="3"/>
      <c r="B83" s="4"/>
      <c r="C83" s="4"/>
      <c r="D83" s="5"/>
      <c r="E83" s="7"/>
      <c r="F83" s="7"/>
      <c r="G83" s="7"/>
      <c r="H83" s="7"/>
      <c r="I83" s="7"/>
      <c r="J83" s="5"/>
      <c r="K83" s="5"/>
      <c r="L83" s="5"/>
      <c r="M83" s="7"/>
      <c r="N83" s="4"/>
      <c r="O83" s="4"/>
      <c r="P83" s="8" t="str">
        <f aca="true">IF(B83="","",IF(O83&lt;&gt;"",O83-B83,TODAY()-B83))</f>
        <v/>
      </c>
      <c r="Q83" s="9" t="str">
        <f aca="true">IF(OR(N83="",L83="完了"),"",IF(TODAY()&gt;N83,"超過",IF(TODAY()+3&gt;=N83,"間近","")))</f>
        <v/>
      </c>
      <c r="R83" s="5"/>
      <c r="S83" s="10"/>
      <c r="T83" s="7"/>
    </row>
    <row r="84" customFormat="false" ht="15" hidden="false" customHeight="false" outlineLevel="0" collapsed="false">
      <c r="A84" s="3"/>
      <c r="B84" s="4"/>
      <c r="C84" s="4"/>
      <c r="D84" s="5"/>
      <c r="E84" s="7"/>
      <c r="F84" s="7"/>
      <c r="G84" s="7"/>
      <c r="H84" s="7"/>
      <c r="I84" s="7"/>
      <c r="J84" s="5"/>
      <c r="K84" s="5"/>
      <c r="L84" s="5"/>
      <c r="M84" s="7"/>
      <c r="N84" s="4"/>
      <c r="O84" s="4"/>
      <c r="P84" s="8" t="str">
        <f aca="true">IF(B84="","",IF(O84&lt;&gt;"",O84-B84,TODAY()-B84))</f>
        <v/>
      </c>
      <c r="Q84" s="9" t="str">
        <f aca="true">IF(OR(N84="",L84="完了"),"",IF(TODAY()&gt;N84,"超過",IF(TODAY()+3&gt;=N84,"間近","")))</f>
        <v/>
      </c>
      <c r="R84" s="5"/>
      <c r="S84" s="10"/>
      <c r="T84" s="7"/>
    </row>
    <row r="85" customFormat="false" ht="15" hidden="false" customHeight="false" outlineLevel="0" collapsed="false">
      <c r="A85" s="3"/>
      <c r="B85" s="4"/>
      <c r="C85" s="4"/>
      <c r="D85" s="5"/>
      <c r="E85" s="7"/>
      <c r="F85" s="7"/>
      <c r="G85" s="7"/>
      <c r="H85" s="7"/>
      <c r="I85" s="7"/>
      <c r="J85" s="5"/>
      <c r="K85" s="5"/>
      <c r="L85" s="5"/>
      <c r="M85" s="7"/>
      <c r="N85" s="4"/>
      <c r="O85" s="4"/>
      <c r="P85" s="8" t="str">
        <f aca="true">IF(B85="","",IF(O85&lt;&gt;"",O85-B85,TODAY()-B85))</f>
        <v/>
      </c>
      <c r="Q85" s="9" t="str">
        <f aca="true">IF(OR(N85="",L85="完了"),"",IF(TODAY()&gt;N85,"超過",IF(TODAY()+3&gt;=N85,"間近","")))</f>
        <v/>
      </c>
      <c r="R85" s="5"/>
      <c r="S85" s="10"/>
      <c r="T85" s="7"/>
    </row>
    <row r="86" customFormat="false" ht="15" hidden="false" customHeight="false" outlineLevel="0" collapsed="false">
      <c r="A86" s="3"/>
      <c r="B86" s="4"/>
      <c r="C86" s="4"/>
      <c r="D86" s="5"/>
      <c r="E86" s="7"/>
      <c r="F86" s="7"/>
      <c r="G86" s="7"/>
      <c r="H86" s="7"/>
      <c r="I86" s="7"/>
      <c r="J86" s="5"/>
      <c r="K86" s="5"/>
      <c r="L86" s="5"/>
      <c r="M86" s="7"/>
      <c r="N86" s="4"/>
      <c r="O86" s="4"/>
      <c r="P86" s="8" t="str">
        <f aca="true">IF(B86="","",IF(O86&lt;&gt;"",O86-B86,TODAY()-B86))</f>
        <v/>
      </c>
      <c r="Q86" s="9" t="str">
        <f aca="true">IF(OR(N86="",L86="完了"),"",IF(TODAY()&gt;N86,"超過",IF(TODAY()+3&gt;=N86,"間近","")))</f>
        <v/>
      </c>
      <c r="R86" s="5"/>
      <c r="S86" s="10"/>
      <c r="T86" s="7"/>
    </row>
    <row r="87" customFormat="false" ht="15" hidden="false" customHeight="false" outlineLevel="0" collapsed="false">
      <c r="A87" s="3"/>
      <c r="B87" s="4"/>
      <c r="C87" s="4"/>
      <c r="D87" s="5"/>
      <c r="E87" s="7"/>
      <c r="F87" s="7"/>
      <c r="G87" s="7"/>
      <c r="H87" s="7"/>
      <c r="I87" s="7"/>
      <c r="J87" s="5"/>
      <c r="K87" s="5"/>
      <c r="L87" s="5"/>
      <c r="M87" s="7"/>
      <c r="N87" s="4"/>
      <c r="O87" s="4"/>
      <c r="P87" s="8" t="str">
        <f aca="true">IF(B87="","",IF(O87&lt;&gt;"",O87-B87,TODAY()-B87))</f>
        <v/>
      </c>
      <c r="Q87" s="9" t="str">
        <f aca="true">IF(OR(N87="",L87="完了"),"",IF(TODAY()&gt;N87,"超過",IF(TODAY()+3&gt;=N87,"間近","")))</f>
        <v/>
      </c>
      <c r="R87" s="5"/>
      <c r="S87" s="10"/>
      <c r="T87" s="7"/>
    </row>
    <row r="88" customFormat="false" ht="15" hidden="false" customHeight="false" outlineLevel="0" collapsed="false">
      <c r="A88" s="3"/>
      <c r="B88" s="4"/>
      <c r="C88" s="4"/>
      <c r="D88" s="5"/>
      <c r="E88" s="7"/>
      <c r="F88" s="7"/>
      <c r="G88" s="7"/>
      <c r="H88" s="7"/>
      <c r="I88" s="7"/>
      <c r="J88" s="5"/>
      <c r="K88" s="5"/>
      <c r="L88" s="5"/>
      <c r="M88" s="7"/>
      <c r="N88" s="4"/>
      <c r="O88" s="4"/>
      <c r="P88" s="8" t="str">
        <f aca="true">IF(B88="","",IF(O88&lt;&gt;"",O88-B88,TODAY()-B88))</f>
        <v/>
      </c>
      <c r="Q88" s="9" t="str">
        <f aca="true">IF(OR(N88="",L88="完了"),"",IF(TODAY()&gt;N88,"超過",IF(TODAY()+3&gt;=N88,"間近","")))</f>
        <v/>
      </c>
      <c r="R88" s="5"/>
      <c r="S88" s="10"/>
      <c r="T88" s="7"/>
    </row>
    <row r="89" customFormat="false" ht="15" hidden="false" customHeight="false" outlineLevel="0" collapsed="false">
      <c r="A89" s="3"/>
      <c r="B89" s="4"/>
      <c r="C89" s="4"/>
      <c r="D89" s="5"/>
      <c r="E89" s="7"/>
      <c r="F89" s="7"/>
      <c r="G89" s="7"/>
      <c r="H89" s="7"/>
      <c r="I89" s="7"/>
      <c r="J89" s="5"/>
      <c r="K89" s="5"/>
      <c r="L89" s="5"/>
      <c r="M89" s="7"/>
      <c r="N89" s="4"/>
      <c r="O89" s="4"/>
      <c r="P89" s="8" t="str">
        <f aca="true">IF(B89="","",IF(O89&lt;&gt;"",O89-B89,TODAY()-B89))</f>
        <v/>
      </c>
      <c r="Q89" s="9" t="str">
        <f aca="true">IF(OR(N89="",L89="完了"),"",IF(TODAY()&gt;N89,"超過",IF(TODAY()+3&gt;=N89,"間近","")))</f>
        <v/>
      </c>
      <c r="R89" s="5"/>
      <c r="S89" s="10"/>
      <c r="T89" s="7"/>
    </row>
    <row r="90" customFormat="false" ht="15" hidden="false" customHeight="false" outlineLevel="0" collapsed="false">
      <c r="A90" s="3"/>
      <c r="B90" s="4"/>
      <c r="C90" s="4"/>
      <c r="D90" s="5"/>
      <c r="E90" s="7"/>
      <c r="F90" s="7"/>
      <c r="G90" s="7"/>
      <c r="H90" s="7"/>
      <c r="I90" s="7"/>
      <c r="J90" s="5"/>
      <c r="K90" s="5"/>
      <c r="L90" s="5"/>
      <c r="M90" s="7"/>
      <c r="N90" s="4"/>
      <c r="O90" s="4"/>
      <c r="P90" s="8" t="str">
        <f aca="true">IF(B90="","",IF(O90&lt;&gt;"",O90-B90,TODAY()-B90))</f>
        <v/>
      </c>
      <c r="Q90" s="9" t="str">
        <f aca="true">IF(OR(N90="",L90="完了"),"",IF(TODAY()&gt;N90,"超過",IF(TODAY()+3&gt;=N90,"間近","")))</f>
        <v/>
      </c>
      <c r="R90" s="5"/>
      <c r="S90" s="10"/>
      <c r="T90" s="7"/>
    </row>
    <row r="91" customFormat="false" ht="15" hidden="false" customHeight="false" outlineLevel="0" collapsed="false">
      <c r="A91" s="3"/>
      <c r="B91" s="4"/>
      <c r="C91" s="4"/>
      <c r="D91" s="5"/>
      <c r="E91" s="7"/>
      <c r="F91" s="7"/>
      <c r="G91" s="7"/>
      <c r="H91" s="7"/>
      <c r="I91" s="7"/>
      <c r="J91" s="5"/>
      <c r="K91" s="5"/>
      <c r="L91" s="5"/>
      <c r="M91" s="7"/>
      <c r="N91" s="4"/>
      <c r="O91" s="4"/>
      <c r="P91" s="8" t="str">
        <f aca="true">IF(B91="","",IF(O91&lt;&gt;"",O91-B91,TODAY()-B91))</f>
        <v/>
      </c>
      <c r="Q91" s="9" t="str">
        <f aca="true">IF(OR(N91="",L91="完了"),"",IF(TODAY()&gt;N91,"超過",IF(TODAY()+3&gt;=N91,"間近","")))</f>
        <v/>
      </c>
      <c r="R91" s="5"/>
      <c r="S91" s="10"/>
      <c r="T91" s="7"/>
    </row>
    <row r="92" customFormat="false" ht="15" hidden="false" customHeight="false" outlineLevel="0" collapsed="false">
      <c r="A92" s="3"/>
      <c r="B92" s="4"/>
      <c r="C92" s="4"/>
      <c r="D92" s="5"/>
      <c r="E92" s="7"/>
      <c r="F92" s="7"/>
      <c r="G92" s="7"/>
      <c r="H92" s="7"/>
      <c r="I92" s="7"/>
      <c r="J92" s="5"/>
      <c r="K92" s="5"/>
      <c r="L92" s="5"/>
      <c r="M92" s="7"/>
      <c r="N92" s="4"/>
      <c r="O92" s="4"/>
      <c r="P92" s="8" t="str">
        <f aca="true">IF(B92="","",IF(O92&lt;&gt;"",O92-B92,TODAY()-B92))</f>
        <v/>
      </c>
      <c r="Q92" s="9" t="str">
        <f aca="true">IF(OR(N92="",L92="完了"),"",IF(TODAY()&gt;N92,"超過",IF(TODAY()+3&gt;=N92,"間近","")))</f>
        <v/>
      </c>
      <c r="R92" s="5"/>
      <c r="S92" s="10"/>
      <c r="T92" s="7"/>
    </row>
    <row r="93" customFormat="false" ht="15" hidden="false" customHeight="false" outlineLevel="0" collapsed="false">
      <c r="A93" s="3"/>
      <c r="B93" s="4"/>
      <c r="C93" s="4"/>
      <c r="D93" s="5"/>
      <c r="E93" s="7"/>
      <c r="F93" s="7"/>
      <c r="G93" s="7"/>
      <c r="H93" s="7"/>
      <c r="I93" s="7"/>
      <c r="J93" s="5"/>
      <c r="K93" s="5"/>
      <c r="L93" s="5"/>
      <c r="M93" s="7"/>
      <c r="N93" s="4"/>
      <c r="O93" s="4"/>
      <c r="P93" s="8" t="str">
        <f aca="true">IF(B93="","",IF(O93&lt;&gt;"",O93-B93,TODAY()-B93))</f>
        <v/>
      </c>
      <c r="Q93" s="9" t="str">
        <f aca="true">IF(OR(N93="",L93="完了"),"",IF(TODAY()&gt;N93,"超過",IF(TODAY()+3&gt;=N93,"間近","")))</f>
        <v/>
      </c>
      <c r="R93" s="5"/>
      <c r="S93" s="10"/>
      <c r="T93" s="7"/>
    </row>
    <row r="94" customFormat="false" ht="15" hidden="false" customHeight="false" outlineLevel="0" collapsed="false">
      <c r="A94" s="3"/>
      <c r="B94" s="4"/>
      <c r="C94" s="4"/>
      <c r="D94" s="5"/>
      <c r="E94" s="7"/>
      <c r="F94" s="7"/>
      <c r="G94" s="7"/>
      <c r="H94" s="7"/>
      <c r="I94" s="7"/>
      <c r="J94" s="5"/>
      <c r="K94" s="5"/>
      <c r="L94" s="5"/>
      <c r="M94" s="7"/>
      <c r="N94" s="4"/>
      <c r="O94" s="4"/>
      <c r="P94" s="8" t="str">
        <f aca="true">IF(B94="","",IF(O94&lt;&gt;"",O94-B94,TODAY()-B94))</f>
        <v/>
      </c>
      <c r="Q94" s="9" t="str">
        <f aca="true">IF(OR(N94="",L94="完了"),"",IF(TODAY()&gt;N94,"超過",IF(TODAY()+3&gt;=N94,"間近","")))</f>
        <v/>
      </c>
      <c r="R94" s="5"/>
      <c r="S94" s="10"/>
      <c r="T94" s="7"/>
    </row>
    <row r="95" customFormat="false" ht="15" hidden="false" customHeight="false" outlineLevel="0" collapsed="false">
      <c r="A95" s="3"/>
      <c r="B95" s="4"/>
      <c r="C95" s="4"/>
      <c r="D95" s="5"/>
      <c r="E95" s="7"/>
      <c r="F95" s="7"/>
      <c r="G95" s="7"/>
      <c r="H95" s="7"/>
      <c r="I95" s="7"/>
      <c r="J95" s="5"/>
      <c r="K95" s="5"/>
      <c r="L95" s="5"/>
      <c r="M95" s="7"/>
      <c r="N95" s="4"/>
      <c r="O95" s="4"/>
      <c r="P95" s="8" t="str">
        <f aca="true">IF(B95="","",IF(O95&lt;&gt;"",O95-B95,TODAY()-B95))</f>
        <v/>
      </c>
      <c r="Q95" s="9" t="str">
        <f aca="true">IF(OR(N95="",L95="完了"),"",IF(TODAY()&gt;N95,"超過",IF(TODAY()+3&gt;=N95,"間近","")))</f>
        <v/>
      </c>
      <c r="R95" s="5"/>
      <c r="S95" s="10"/>
      <c r="T95" s="7"/>
    </row>
    <row r="96" customFormat="false" ht="15" hidden="false" customHeight="false" outlineLevel="0" collapsed="false">
      <c r="A96" s="3"/>
      <c r="B96" s="4"/>
      <c r="C96" s="4"/>
      <c r="D96" s="5"/>
      <c r="E96" s="7"/>
      <c r="F96" s="7"/>
      <c r="G96" s="7"/>
      <c r="H96" s="7"/>
      <c r="I96" s="7"/>
      <c r="J96" s="5"/>
      <c r="K96" s="5"/>
      <c r="L96" s="5"/>
      <c r="M96" s="7"/>
      <c r="N96" s="4"/>
      <c r="O96" s="4"/>
      <c r="P96" s="8" t="str">
        <f aca="true">IF(B96="","",IF(O96&lt;&gt;"",O96-B96,TODAY()-B96))</f>
        <v/>
      </c>
      <c r="Q96" s="9" t="str">
        <f aca="true">IF(OR(N96="",L96="完了"),"",IF(TODAY()&gt;N96,"超過",IF(TODAY()+3&gt;=N96,"間近","")))</f>
        <v/>
      </c>
      <c r="R96" s="5"/>
      <c r="S96" s="10"/>
      <c r="T96" s="7"/>
    </row>
    <row r="97" customFormat="false" ht="15" hidden="false" customHeight="false" outlineLevel="0" collapsed="false">
      <c r="A97" s="3"/>
      <c r="B97" s="4"/>
      <c r="C97" s="4"/>
      <c r="D97" s="5"/>
      <c r="E97" s="7"/>
      <c r="F97" s="7"/>
      <c r="G97" s="7"/>
      <c r="H97" s="7"/>
      <c r="I97" s="7"/>
      <c r="J97" s="5"/>
      <c r="K97" s="5"/>
      <c r="L97" s="5"/>
      <c r="M97" s="7"/>
      <c r="N97" s="4"/>
      <c r="O97" s="4"/>
      <c r="P97" s="8" t="str">
        <f aca="true">IF(B97="","",IF(O97&lt;&gt;"",O97-B97,TODAY()-B97))</f>
        <v/>
      </c>
      <c r="Q97" s="9" t="str">
        <f aca="true">IF(OR(N97="",L97="完了"),"",IF(TODAY()&gt;N97,"超過",IF(TODAY()+3&gt;=N97,"間近","")))</f>
        <v/>
      </c>
      <c r="R97" s="5"/>
      <c r="S97" s="10"/>
      <c r="T97" s="7"/>
    </row>
    <row r="98" customFormat="false" ht="15" hidden="false" customHeight="false" outlineLevel="0" collapsed="false">
      <c r="A98" s="3"/>
      <c r="B98" s="4"/>
      <c r="C98" s="4"/>
      <c r="D98" s="5"/>
      <c r="E98" s="7"/>
      <c r="F98" s="7"/>
      <c r="G98" s="7"/>
      <c r="H98" s="7"/>
      <c r="I98" s="7"/>
      <c r="J98" s="5"/>
      <c r="K98" s="5"/>
      <c r="L98" s="5"/>
      <c r="M98" s="7"/>
      <c r="N98" s="4"/>
      <c r="O98" s="4"/>
      <c r="P98" s="8" t="str">
        <f aca="true">IF(B98="","",IF(O98&lt;&gt;"",O98-B98,TODAY()-B98))</f>
        <v/>
      </c>
      <c r="Q98" s="9" t="str">
        <f aca="true">IF(OR(N98="",L98="完了"),"",IF(TODAY()&gt;N98,"超過",IF(TODAY()+3&gt;=N98,"間近","")))</f>
        <v/>
      </c>
      <c r="R98" s="5"/>
      <c r="S98" s="10"/>
      <c r="T98" s="7"/>
    </row>
    <row r="99" customFormat="false" ht="15" hidden="false" customHeight="false" outlineLevel="0" collapsed="false">
      <c r="A99" s="3"/>
      <c r="B99" s="4"/>
      <c r="C99" s="4"/>
      <c r="D99" s="5"/>
      <c r="E99" s="7"/>
      <c r="F99" s="7"/>
      <c r="G99" s="7"/>
      <c r="H99" s="7"/>
      <c r="I99" s="7"/>
      <c r="J99" s="5"/>
      <c r="K99" s="5"/>
      <c r="L99" s="5"/>
      <c r="M99" s="7"/>
      <c r="N99" s="4"/>
      <c r="O99" s="4"/>
      <c r="P99" s="8" t="str">
        <f aca="true">IF(B99="","",IF(O99&lt;&gt;"",O99-B99,TODAY()-B99))</f>
        <v/>
      </c>
      <c r="Q99" s="9" t="str">
        <f aca="true">IF(OR(N99="",L99="完了"),"",IF(TODAY()&gt;N99,"超過",IF(TODAY()+3&gt;=N99,"間近","")))</f>
        <v/>
      </c>
      <c r="R99" s="5"/>
      <c r="S99" s="10"/>
      <c r="T99" s="7"/>
    </row>
    <row r="100" customFormat="false" ht="15" hidden="false" customHeight="false" outlineLevel="0" collapsed="false">
      <c r="A100" s="3"/>
      <c r="B100" s="4"/>
      <c r="C100" s="4"/>
      <c r="D100" s="5"/>
      <c r="E100" s="7"/>
      <c r="F100" s="7"/>
      <c r="G100" s="7"/>
      <c r="H100" s="7"/>
      <c r="I100" s="7"/>
      <c r="J100" s="5"/>
      <c r="K100" s="5"/>
      <c r="L100" s="5"/>
      <c r="M100" s="7"/>
      <c r="N100" s="4"/>
      <c r="O100" s="4"/>
      <c r="P100" s="8" t="str">
        <f aca="true">IF(B100="","",IF(O100&lt;&gt;"",O100-B100,TODAY()-B100))</f>
        <v/>
      </c>
      <c r="Q100" s="9" t="str">
        <f aca="true">IF(OR(N100="",L100="完了"),"",IF(TODAY()&gt;N100,"超過",IF(TODAY()+3&gt;=N100,"間近","")))</f>
        <v/>
      </c>
      <c r="R100" s="5"/>
      <c r="S100" s="10"/>
      <c r="T100" s="7"/>
    </row>
    <row r="101" customFormat="false" ht="15" hidden="false" customHeight="false" outlineLevel="0" collapsed="false">
      <c r="A101" s="3"/>
      <c r="B101" s="4"/>
      <c r="C101" s="4"/>
      <c r="D101" s="5"/>
      <c r="E101" s="7"/>
      <c r="F101" s="7"/>
      <c r="G101" s="7"/>
      <c r="H101" s="7"/>
      <c r="I101" s="7"/>
      <c r="J101" s="5"/>
      <c r="K101" s="5"/>
      <c r="L101" s="5"/>
      <c r="M101" s="7"/>
      <c r="N101" s="4"/>
      <c r="O101" s="4"/>
      <c r="P101" s="8" t="str">
        <f aca="true">IF(B101="","",IF(O101&lt;&gt;"",O101-B101,TODAY()-B101))</f>
        <v/>
      </c>
      <c r="Q101" s="9" t="str">
        <f aca="true">IF(OR(N101="",L101="完了"),"",IF(TODAY()&gt;N101,"超過",IF(TODAY()+3&gt;=N101,"間近","")))</f>
        <v/>
      </c>
      <c r="R101" s="5"/>
      <c r="S101" s="10"/>
      <c r="T101" s="7"/>
    </row>
    <row r="102" customFormat="false" ht="15" hidden="false" customHeight="false" outlineLevel="0" collapsed="false">
      <c r="A102" s="3"/>
      <c r="B102" s="4"/>
      <c r="C102" s="4"/>
      <c r="D102" s="5"/>
      <c r="E102" s="7"/>
      <c r="F102" s="7"/>
      <c r="G102" s="7"/>
      <c r="H102" s="7"/>
      <c r="I102" s="7"/>
      <c r="J102" s="5"/>
      <c r="K102" s="5"/>
      <c r="L102" s="5"/>
      <c r="M102" s="7"/>
      <c r="N102" s="4"/>
      <c r="O102" s="4"/>
      <c r="P102" s="8" t="str">
        <f aca="true">IF(B102="","",IF(O102&lt;&gt;"",O102-B102,TODAY()-B102))</f>
        <v/>
      </c>
      <c r="Q102" s="9" t="str">
        <f aca="true">IF(OR(N102="",L102="完了"),"",IF(TODAY()&gt;N102,"超過",IF(TODAY()+3&gt;=N102,"間近","")))</f>
        <v/>
      </c>
      <c r="R102" s="5"/>
      <c r="S102" s="10"/>
      <c r="T102" s="7"/>
    </row>
    <row r="103" customFormat="false" ht="15" hidden="false" customHeight="false" outlineLevel="0" collapsed="false">
      <c r="A103" s="3"/>
      <c r="B103" s="4"/>
      <c r="C103" s="4"/>
      <c r="D103" s="5"/>
      <c r="E103" s="7"/>
      <c r="F103" s="7"/>
      <c r="G103" s="7"/>
      <c r="H103" s="7"/>
      <c r="I103" s="7"/>
      <c r="J103" s="5"/>
      <c r="K103" s="5"/>
      <c r="L103" s="5"/>
      <c r="M103" s="7"/>
      <c r="N103" s="4"/>
      <c r="O103" s="4"/>
      <c r="P103" s="8" t="str">
        <f aca="true">IF(B103="","",IF(O103&lt;&gt;"",O103-B103,TODAY()-B103))</f>
        <v/>
      </c>
      <c r="Q103" s="9" t="str">
        <f aca="true">IF(OR(N103="",L103="完了"),"",IF(TODAY()&gt;N103,"超過",IF(TODAY()+3&gt;=N103,"間近","")))</f>
        <v/>
      </c>
      <c r="R103" s="5"/>
      <c r="S103" s="10"/>
      <c r="T103" s="7"/>
    </row>
    <row r="104" customFormat="false" ht="15" hidden="false" customHeight="false" outlineLevel="0" collapsed="false">
      <c r="A104" s="3"/>
      <c r="B104" s="4"/>
      <c r="C104" s="4"/>
      <c r="D104" s="5"/>
      <c r="E104" s="7"/>
      <c r="F104" s="7"/>
      <c r="G104" s="7"/>
      <c r="H104" s="7"/>
      <c r="I104" s="7"/>
      <c r="J104" s="5"/>
      <c r="K104" s="5"/>
      <c r="L104" s="5"/>
      <c r="M104" s="7"/>
      <c r="N104" s="4"/>
      <c r="O104" s="4"/>
      <c r="P104" s="8" t="str">
        <f aca="true">IF(B104="","",IF(O104&lt;&gt;"",O104-B104,TODAY()-B104))</f>
        <v/>
      </c>
      <c r="Q104" s="9" t="str">
        <f aca="true">IF(OR(N104="",L104="完了"),"",IF(TODAY()&gt;N104,"超過",IF(TODAY()+3&gt;=N104,"間近","")))</f>
        <v/>
      </c>
      <c r="R104" s="5"/>
      <c r="S104" s="10"/>
      <c r="T104" s="7"/>
    </row>
    <row r="105" customFormat="false" ht="15" hidden="false" customHeight="false" outlineLevel="0" collapsed="false">
      <c r="A105" s="3"/>
      <c r="B105" s="4"/>
      <c r="C105" s="4"/>
      <c r="D105" s="5"/>
      <c r="E105" s="7"/>
      <c r="F105" s="7"/>
      <c r="G105" s="7"/>
      <c r="H105" s="7"/>
      <c r="I105" s="7"/>
      <c r="J105" s="5"/>
      <c r="K105" s="5"/>
      <c r="L105" s="5"/>
      <c r="M105" s="7"/>
      <c r="N105" s="4"/>
      <c r="O105" s="4"/>
      <c r="P105" s="8" t="str">
        <f aca="true">IF(B105="","",IF(O105&lt;&gt;"",O105-B105,TODAY()-B105))</f>
        <v/>
      </c>
      <c r="Q105" s="9" t="str">
        <f aca="true">IF(OR(N105="",L105="完了"),"",IF(TODAY()&gt;N105,"超過",IF(TODAY()+3&gt;=N105,"間近","")))</f>
        <v/>
      </c>
      <c r="R105" s="5"/>
      <c r="S105" s="10"/>
      <c r="T105" s="7"/>
    </row>
    <row r="106" customFormat="false" ht="15" hidden="false" customHeight="false" outlineLevel="0" collapsed="false">
      <c r="A106" s="3"/>
      <c r="B106" s="4"/>
      <c r="C106" s="4"/>
      <c r="D106" s="5"/>
      <c r="E106" s="7"/>
      <c r="F106" s="7"/>
      <c r="G106" s="7"/>
      <c r="H106" s="7"/>
      <c r="I106" s="7"/>
      <c r="J106" s="5"/>
      <c r="K106" s="5"/>
      <c r="L106" s="5"/>
      <c r="M106" s="7"/>
      <c r="N106" s="4"/>
      <c r="O106" s="4"/>
      <c r="P106" s="8" t="str">
        <f aca="true">IF(B106="","",IF(O106&lt;&gt;"",O106-B106,TODAY()-B106))</f>
        <v/>
      </c>
      <c r="Q106" s="9" t="str">
        <f aca="true">IF(OR(N106="",L106="完了"),"",IF(TODAY()&gt;N106,"超過",IF(TODAY()+3&gt;=N106,"間近","")))</f>
        <v/>
      </c>
      <c r="R106" s="5"/>
      <c r="S106" s="10"/>
      <c r="T106" s="7"/>
    </row>
    <row r="107" customFormat="false" ht="15" hidden="false" customHeight="false" outlineLevel="0" collapsed="false">
      <c r="A107" s="3"/>
      <c r="B107" s="4"/>
      <c r="C107" s="4"/>
      <c r="D107" s="5"/>
      <c r="E107" s="7"/>
      <c r="F107" s="7"/>
      <c r="G107" s="7"/>
      <c r="H107" s="7"/>
      <c r="I107" s="7"/>
      <c r="J107" s="5"/>
      <c r="K107" s="5"/>
      <c r="L107" s="5"/>
      <c r="M107" s="7"/>
      <c r="N107" s="4"/>
      <c r="O107" s="4"/>
      <c r="P107" s="8" t="str">
        <f aca="true">IF(B107="","",IF(O107&lt;&gt;"",O107-B107,TODAY()-B107))</f>
        <v/>
      </c>
      <c r="Q107" s="9" t="str">
        <f aca="true">IF(OR(N107="",L107="完了"),"",IF(TODAY()&gt;N107,"超過",IF(TODAY()+3&gt;=N107,"間近","")))</f>
        <v/>
      </c>
      <c r="R107" s="5"/>
      <c r="S107" s="10"/>
      <c r="T107" s="7"/>
    </row>
    <row r="108" customFormat="false" ht="15" hidden="false" customHeight="false" outlineLevel="0" collapsed="false">
      <c r="A108" s="3"/>
      <c r="B108" s="4"/>
      <c r="C108" s="4"/>
      <c r="D108" s="5"/>
      <c r="E108" s="7"/>
      <c r="F108" s="7"/>
      <c r="G108" s="7"/>
      <c r="H108" s="7"/>
      <c r="I108" s="7"/>
      <c r="J108" s="5"/>
      <c r="K108" s="5"/>
      <c r="L108" s="5"/>
      <c r="M108" s="7"/>
      <c r="N108" s="4"/>
      <c r="O108" s="4"/>
      <c r="P108" s="8" t="str">
        <f aca="true">IF(B108="","",IF(O108&lt;&gt;"",O108-B108,TODAY()-B108))</f>
        <v/>
      </c>
      <c r="Q108" s="9" t="str">
        <f aca="true">IF(OR(N108="",L108="完了"),"",IF(TODAY()&gt;N108,"超過",IF(TODAY()+3&gt;=N108,"間近","")))</f>
        <v/>
      </c>
      <c r="R108" s="5"/>
      <c r="S108" s="10"/>
      <c r="T108" s="7"/>
    </row>
    <row r="109" customFormat="false" ht="15" hidden="false" customHeight="false" outlineLevel="0" collapsed="false">
      <c r="A109" s="3"/>
      <c r="B109" s="4"/>
      <c r="C109" s="4"/>
      <c r="D109" s="5"/>
      <c r="E109" s="7"/>
      <c r="F109" s="7"/>
      <c r="G109" s="7"/>
      <c r="H109" s="7"/>
      <c r="I109" s="7"/>
      <c r="J109" s="5"/>
      <c r="K109" s="5"/>
      <c r="L109" s="5"/>
      <c r="M109" s="7"/>
      <c r="N109" s="4"/>
      <c r="O109" s="4"/>
      <c r="P109" s="8" t="str">
        <f aca="true">IF(B109="","",IF(O109&lt;&gt;"",O109-B109,TODAY()-B109))</f>
        <v/>
      </c>
      <c r="Q109" s="9" t="str">
        <f aca="true">IF(OR(N109="",L109="完了"),"",IF(TODAY()&gt;N109,"超過",IF(TODAY()+3&gt;=N109,"間近","")))</f>
        <v/>
      </c>
      <c r="R109" s="5"/>
      <c r="S109" s="10"/>
      <c r="T109" s="7"/>
    </row>
    <row r="110" customFormat="false" ht="15" hidden="false" customHeight="false" outlineLevel="0" collapsed="false">
      <c r="A110" s="3"/>
      <c r="B110" s="4"/>
      <c r="C110" s="4"/>
      <c r="D110" s="5"/>
      <c r="E110" s="7"/>
      <c r="F110" s="7"/>
      <c r="G110" s="7"/>
      <c r="H110" s="7"/>
      <c r="I110" s="7"/>
      <c r="J110" s="5"/>
      <c r="K110" s="5"/>
      <c r="L110" s="5"/>
      <c r="M110" s="7"/>
      <c r="N110" s="4"/>
      <c r="O110" s="4"/>
      <c r="P110" s="8" t="str">
        <f aca="true">IF(B110="","",IF(O110&lt;&gt;"",O110-B110,TODAY()-B110))</f>
        <v/>
      </c>
      <c r="Q110" s="9" t="str">
        <f aca="true">IF(OR(N110="",L110="完了"),"",IF(TODAY()&gt;N110,"超過",IF(TODAY()+3&gt;=N110,"間近","")))</f>
        <v/>
      </c>
      <c r="R110" s="5"/>
      <c r="S110" s="10"/>
      <c r="T110" s="7"/>
    </row>
    <row r="111" customFormat="false" ht="15" hidden="false" customHeight="false" outlineLevel="0" collapsed="false">
      <c r="A111" s="3"/>
      <c r="B111" s="4"/>
      <c r="C111" s="4"/>
      <c r="D111" s="5"/>
      <c r="E111" s="7"/>
      <c r="F111" s="7"/>
      <c r="G111" s="7"/>
      <c r="H111" s="7"/>
      <c r="I111" s="7"/>
      <c r="J111" s="5"/>
      <c r="K111" s="5"/>
      <c r="L111" s="5"/>
      <c r="M111" s="7"/>
      <c r="N111" s="4"/>
      <c r="O111" s="4"/>
      <c r="P111" s="8" t="str">
        <f aca="true">IF(B111="","",IF(O111&lt;&gt;"",O111-B111,TODAY()-B111))</f>
        <v/>
      </c>
      <c r="Q111" s="9" t="str">
        <f aca="true">IF(OR(N111="",L111="完了"),"",IF(TODAY()&gt;N111,"超過",IF(TODAY()+3&gt;=N111,"間近","")))</f>
        <v/>
      </c>
      <c r="R111" s="5"/>
      <c r="S111" s="10"/>
      <c r="T111" s="7"/>
    </row>
    <row r="112" customFormat="false" ht="15" hidden="false" customHeight="false" outlineLevel="0" collapsed="false">
      <c r="A112" s="3"/>
      <c r="B112" s="4"/>
      <c r="C112" s="4"/>
      <c r="D112" s="5"/>
      <c r="E112" s="7"/>
      <c r="F112" s="7"/>
      <c r="G112" s="7"/>
      <c r="H112" s="7"/>
      <c r="I112" s="7"/>
      <c r="J112" s="5"/>
      <c r="K112" s="5"/>
      <c r="L112" s="5"/>
      <c r="M112" s="7"/>
      <c r="N112" s="4"/>
      <c r="O112" s="4"/>
      <c r="P112" s="8" t="str">
        <f aca="true">IF(B112="","",IF(O112&lt;&gt;"",O112-B112,TODAY()-B112))</f>
        <v/>
      </c>
      <c r="Q112" s="9" t="str">
        <f aca="true">IF(OR(N112="",L112="完了"),"",IF(TODAY()&gt;N112,"超過",IF(TODAY()+3&gt;=N112,"間近","")))</f>
        <v/>
      </c>
      <c r="R112" s="5"/>
      <c r="S112" s="10"/>
      <c r="T112" s="7"/>
    </row>
    <row r="113" customFormat="false" ht="15" hidden="false" customHeight="false" outlineLevel="0" collapsed="false">
      <c r="A113" s="3"/>
      <c r="B113" s="4"/>
      <c r="C113" s="4"/>
      <c r="D113" s="5"/>
      <c r="E113" s="7"/>
      <c r="F113" s="7"/>
      <c r="G113" s="7"/>
      <c r="H113" s="7"/>
      <c r="I113" s="7"/>
      <c r="J113" s="5"/>
      <c r="K113" s="5"/>
      <c r="L113" s="5"/>
      <c r="M113" s="7"/>
      <c r="N113" s="4"/>
      <c r="O113" s="4"/>
      <c r="P113" s="8" t="str">
        <f aca="true">IF(B113="","",IF(O113&lt;&gt;"",O113-B113,TODAY()-B113))</f>
        <v/>
      </c>
      <c r="Q113" s="9" t="str">
        <f aca="true">IF(OR(N113="",L113="完了"),"",IF(TODAY()&gt;N113,"超過",IF(TODAY()+3&gt;=N113,"間近","")))</f>
        <v/>
      </c>
      <c r="R113" s="5"/>
      <c r="S113" s="10"/>
      <c r="T113" s="7"/>
    </row>
    <row r="114" customFormat="false" ht="15" hidden="false" customHeight="false" outlineLevel="0" collapsed="false">
      <c r="A114" s="3"/>
      <c r="B114" s="4"/>
      <c r="C114" s="4"/>
      <c r="D114" s="5"/>
      <c r="E114" s="7"/>
      <c r="F114" s="7"/>
      <c r="G114" s="7"/>
      <c r="H114" s="7"/>
      <c r="I114" s="7"/>
      <c r="J114" s="5"/>
      <c r="K114" s="5"/>
      <c r="L114" s="5"/>
      <c r="M114" s="7"/>
      <c r="N114" s="4"/>
      <c r="O114" s="4"/>
      <c r="P114" s="8" t="str">
        <f aca="true">IF(B114="","",IF(O114&lt;&gt;"",O114-B114,TODAY()-B114))</f>
        <v/>
      </c>
      <c r="Q114" s="9" t="str">
        <f aca="true">IF(OR(N114="",L114="完了"),"",IF(TODAY()&gt;N114,"超過",IF(TODAY()+3&gt;=N114,"間近","")))</f>
        <v/>
      </c>
      <c r="R114" s="5"/>
      <c r="S114" s="10"/>
      <c r="T114" s="7"/>
    </row>
    <row r="115" customFormat="false" ht="15" hidden="false" customHeight="false" outlineLevel="0" collapsed="false">
      <c r="A115" s="3"/>
      <c r="B115" s="4"/>
      <c r="C115" s="4"/>
      <c r="D115" s="5"/>
      <c r="E115" s="7"/>
      <c r="F115" s="7"/>
      <c r="G115" s="7"/>
      <c r="H115" s="7"/>
      <c r="I115" s="7"/>
      <c r="J115" s="5"/>
      <c r="K115" s="5"/>
      <c r="L115" s="5"/>
      <c r="M115" s="7"/>
      <c r="N115" s="4"/>
      <c r="O115" s="4"/>
      <c r="P115" s="8" t="str">
        <f aca="true">IF(B115="","",IF(O115&lt;&gt;"",O115-B115,TODAY()-B115))</f>
        <v/>
      </c>
      <c r="Q115" s="9" t="str">
        <f aca="true">IF(OR(N115="",L115="完了"),"",IF(TODAY()&gt;N115,"超過",IF(TODAY()+3&gt;=N115,"間近","")))</f>
        <v/>
      </c>
      <c r="R115" s="5"/>
      <c r="S115" s="10"/>
      <c r="T115" s="7"/>
    </row>
    <row r="116" customFormat="false" ht="15" hidden="false" customHeight="false" outlineLevel="0" collapsed="false">
      <c r="A116" s="3"/>
      <c r="B116" s="4"/>
      <c r="C116" s="4"/>
      <c r="D116" s="5"/>
      <c r="E116" s="7"/>
      <c r="F116" s="7"/>
      <c r="G116" s="7"/>
      <c r="H116" s="7"/>
      <c r="I116" s="7"/>
      <c r="J116" s="5"/>
      <c r="K116" s="5"/>
      <c r="L116" s="5"/>
      <c r="M116" s="7"/>
      <c r="N116" s="4"/>
      <c r="O116" s="4"/>
      <c r="P116" s="8" t="str">
        <f aca="true">IF(B116="","",IF(O116&lt;&gt;"",O116-B116,TODAY()-B116))</f>
        <v/>
      </c>
      <c r="Q116" s="9" t="str">
        <f aca="true">IF(OR(N116="",L116="完了"),"",IF(TODAY()&gt;N116,"超過",IF(TODAY()+3&gt;=N116,"間近","")))</f>
        <v/>
      </c>
      <c r="R116" s="5"/>
      <c r="S116" s="10"/>
      <c r="T116" s="7"/>
    </row>
    <row r="117" customFormat="false" ht="15" hidden="false" customHeight="false" outlineLevel="0" collapsed="false">
      <c r="A117" s="3"/>
      <c r="B117" s="4"/>
      <c r="C117" s="4"/>
      <c r="D117" s="5"/>
      <c r="E117" s="7"/>
      <c r="F117" s="7"/>
      <c r="G117" s="7"/>
      <c r="H117" s="7"/>
      <c r="I117" s="7"/>
      <c r="J117" s="5"/>
      <c r="K117" s="5"/>
      <c r="L117" s="5"/>
      <c r="M117" s="7"/>
      <c r="N117" s="4"/>
      <c r="O117" s="4"/>
      <c r="P117" s="8" t="str">
        <f aca="true">IF(B117="","",IF(O117&lt;&gt;"",O117-B117,TODAY()-B117))</f>
        <v/>
      </c>
      <c r="Q117" s="9" t="str">
        <f aca="true">IF(OR(N117="",L117="完了"),"",IF(TODAY()&gt;N117,"超過",IF(TODAY()+3&gt;=N117,"間近","")))</f>
        <v/>
      </c>
      <c r="R117" s="5"/>
      <c r="S117" s="10"/>
      <c r="T117" s="7"/>
    </row>
    <row r="118" customFormat="false" ht="15" hidden="false" customHeight="false" outlineLevel="0" collapsed="false">
      <c r="A118" s="3"/>
      <c r="B118" s="4"/>
      <c r="C118" s="4"/>
      <c r="D118" s="5"/>
      <c r="E118" s="7"/>
      <c r="F118" s="7"/>
      <c r="G118" s="7"/>
      <c r="H118" s="7"/>
      <c r="I118" s="7"/>
      <c r="J118" s="5"/>
      <c r="K118" s="5"/>
      <c r="L118" s="5"/>
      <c r="M118" s="7"/>
      <c r="N118" s="4"/>
      <c r="O118" s="4"/>
      <c r="P118" s="8" t="str">
        <f aca="true">IF(B118="","",IF(O118&lt;&gt;"",O118-B118,TODAY()-B118))</f>
        <v/>
      </c>
      <c r="Q118" s="9" t="str">
        <f aca="true">IF(OR(N118="",L118="完了"),"",IF(TODAY()&gt;N118,"超過",IF(TODAY()+3&gt;=N118,"間近","")))</f>
        <v/>
      </c>
      <c r="R118" s="5"/>
      <c r="S118" s="10"/>
      <c r="T118" s="7"/>
    </row>
    <row r="119" customFormat="false" ht="15" hidden="false" customHeight="false" outlineLevel="0" collapsed="false">
      <c r="A119" s="3"/>
      <c r="B119" s="4"/>
      <c r="C119" s="4"/>
      <c r="D119" s="5"/>
      <c r="E119" s="7"/>
      <c r="F119" s="7"/>
      <c r="G119" s="7"/>
      <c r="H119" s="7"/>
      <c r="I119" s="7"/>
      <c r="J119" s="5"/>
      <c r="K119" s="5"/>
      <c r="L119" s="5"/>
      <c r="M119" s="7"/>
      <c r="N119" s="4"/>
      <c r="O119" s="4"/>
      <c r="P119" s="8" t="str">
        <f aca="true">IF(B119="","",IF(O119&lt;&gt;"",O119-B119,TODAY()-B119))</f>
        <v/>
      </c>
      <c r="Q119" s="9" t="str">
        <f aca="true">IF(OR(N119="",L119="完了"),"",IF(TODAY()&gt;N119,"超過",IF(TODAY()+3&gt;=N119,"間近","")))</f>
        <v/>
      </c>
      <c r="R119" s="5"/>
      <c r="S119" s="10"/>
      <c r="T119" s="7"/>
    </row>
    <row r="120" customFormat="false" ht="15" hidden="false" customHeight="false" outlineLevel="0" collapsed="false">
      <c r="A120" s="3"/>
      <c r="B120" s="4"/>
      <c r="C120" s="4"/>
      <c r="D120" s="5"/>
      <c r="E120" s="7"/>
      <c r="F120" s="7"/>
      <c r="G120" s="7"/>
      <c r="H120" s="7"/>
      <c r="I120" s="7"/>
      <c r="J120" s="5"/>
      <c r="K120" s="5"/>
      <c r="L120" s="5"/>
      <c r="M120" s="7"/>
      <c r="N120" s="4"/>
      <c r="O120" s="4"/>
      <c r="P120" s="8" t="str">
        <f aca="true">IF(B120="","",IF(O120&lt;&gt;"",O120-B120,TODAY()-B120))</f>
        <v/>
      </c>
      <c r="Q120" s="9" t="str">
        <f aca="true">IF(OR(N120="",L120="完了"),"",IF(TODAY()&gt;N120,"超過",IF(TODAY()+3&gt;=N120,"間近","")))</f>
        <v/>
      </c>
      <c r="R120" s="5"/>
      <c r="S120" s="10"/>
      <c r="T120" s="7"/>
    </row>
    <row r="121" customFormat="false" ht="15" hidden="false" customHeight="false" outlineLevel="0" collapsed="false">
      <c r="A121" s="3"/>
      <c r="B121" s="4"/>
      <c r="C121" s="4"/>
      <c r="D121" s="5"/>
      <c r="E121" s="7"/>
      <c r="F121" s="7"/>
      <c r="G121" s="7"/>
      <c r="H121" s="7"/>
      <c r="I121" s="7"/>
      <c r="J121" s="5"/>
      <c r="K121" s="5"/>
      <c r="L121" s="5"/>
      <c r="M121" s="7"/>
      <c r="N121" s="4"/>
      <c r="O121" s="4"/>
      <c r="P121" s="8" t="str">
        <f aca="true">IF(B121="","",IF(O121&lt;&gt;"",O121-B121,TODAY()-B121))</f>
        <v/>
      </c>
      <c r="Q121" s="9" t="str">
        <f aca="true">IF(OR(N121="",L121="完了"),"",IF(TODAY()&gt;N121,"超過",IF(TODAY()+3&gt;=N121,"間近","")))</f>
        <v/>
      </c>
      <c r="R121" s="5"/>
      <c r="S121" s="10"/>
      <c r="T121" s="7"/>
    </row>
    <row r="122" customFormat="false" ht="15" hidden="false" customHeight="false" outlineLevel="0" collapsed="false">
      <c r="A122" s="3"/>
      <c r="B122" s="4"/>
      <c r="C122" s="4"/>
      <c r="D122" s="5"/>
      <c r="E122" s="7"/>
      <c r="F122" s="7"/>
      <c r="G122" s="7"/>
      <c r="H122" s="7"/>
      <c r="I122" s="7"/>
      <c r="J122" s="5"/>
      <c r="K122" s="5"/>
      <c r="L122" s="5"/>
      <c r="M122" s="7"/>
      <c r="N122" s="4"/>
      <c r="O122" s="4"/>
      <c r="P122" s="8" t="str">
        <f aca="true">IF(B122="","",IF(O122&lt;&gt;"",O122-B122,TODAY()-B122))</f>
        <v/>
      </c>
      <c r="Q122" s="9" t="str">
        <f aca="true">IF(OR(N122="",L122="完了"),"",IF(TODAY()&gt;N122,"超過",IF(TODAY()+3&gt;=N122,"間近","")))</f>
        <v/>
      </c>
      <c r="R122" s="5"/>
      <c r="S122" s="10"/>
      <c r="T122" s="7"/>
    </row>
    <row r="123" customFormat="false" ht="15" hidden="false" customHeight="false" outlineLevel="0" collapsed="false">
      <c r="A123" s="3"/>
      <c r="B123" s="4"/>
      <c r="C123" s="4"/>
      <c r="D123" s="5"/>
      <c r="E123" s="7"/>
      <c r="F123" s="7"/>
      <c r="G123" s="7"/>
      <c r="H123" s="7"/>
      <c r="I123" s="7"/>
      <c r="J123" s="5"/>
      <c r="K123" s="5"/>
      <c r="L123" s="5"/>
      <c r="M123" s="7"/>
      <c r="N123" s="4"/>
      <c r="O123" s="4"/>
      <c r="P123" s="8" t="str">
        <f aca="true">IF(B123="","",IF(O123&lt;&gt;"",O123-B123,TODAY()-B123))</f>
        <v/>
      </c>
      <c r="Q123" s="9" t="str">
        <f aca="true">IF(OR(N123="",L123="完了"),"",IF(TODAY()&gt;N123,"超過",IF(TODAY()+3&gt;=N123,"間近","")))</f>
        <v/>
      </c>
      <c r="R123" s="5"/>
      <c r="S123" s="10"/>
      <c r="T123" s="7"/>
    </row>
    <row r="124" customFormat="false" ht="15" hidden="false" customHeight="false" outlineLevel="0" collapsed="false">
      <c r="A124" s="3"/>
      <c r="B124" s="4"/>
      <c r="C124" s="4"/>
      <c r="D124" s="5"/>
      <c r="E124" s="7"/>
      <c r="F124" s="7"/>
      <c r="G124" s="7"/>
      <c r="H124" s="7"/>
      <c r="I124" s="7"/>
      <c r="J124" s="5"/>
      <c r="K124" s="5"/>
      <c r="L124" s="5"/>
      <c r="M124" s="7"/>
      <c r="N124" s="4"/>
      <c r="O124" s="4"/>
      <c r="P124" s="8" t="str">
        <f aca="true">IF(B124="","",IF(O124&lt;&gt;"",O124-B124,TODAY()-B124))</f>
        <v/>
      </c>
      <c r="Q124" s="9" t="str">
        <f aca="true">IF(OR(N124="",L124="完了"),"",IF(TODAY()&gt;N124,"超過",IF(TODAY()+3&gt;=N124,"間近","")))</f>
        <v/>
      </c>
      <c r="R124" s="5"/>
      <c r="S124" s="10"/>
      <c r="T124" s="7"/>
    </row>
    <row r="125" customFormat="false" ht="15" hidden="false" customHeight="false" outlineLevel="0" collapsed="false">
      <c r="A125" s="3"/>
      <c r="B125" s="4"/>
      <c r="C125" s="4"/>
      <c r="D125" s="5"/>
      <c r="E125" s="7"/>
      <c r="F125" s="7"/>
      <c r="G125" s="7"/>
      <c r="H125" s="7"/>
      <c r="I125" s="7"/>
      <c r="J125" s="5"/>
      <c r="K125" s="5"/>
      <c r="L125" s="5"/>
      <c r="M125" s="7"/>
      <c r="N125" s="4"/>
      <c r="O125" s="4"/>
      <c r="P125" s="8" t="str">
        <f aca="true">IF(B125="","",IF(O125&lt;&gt;"",O125-B125,TODAY()-B125))</f>
        <v/>
      </c>
      <c r="Q125" s="9" t="str">
        <f aca="true">IF(OR(N125="",L125="完了"),"",IF(TODAY()&gt;N125,"超過",IF(TODAY()+3&gt;=N125,"間近","")))</f>
        <v/>
      </c>
      <c r="R125" s="5"/>
      <c r="S125" s="10"/>
      <c r="T125" s="7"/>
    </row>
    <row r="126" customFormat="false" ht="15" hidden="false" customHeight="false" outlineLevel="0" collapsed="false">
      <c r="A126" s="3"/>
      <c r="B126" s="4"/>
      <c r="C126" s="4"/>
      <c r="D126" s="5"/>
      <c r="E126" s="7"/>
      <c r="F126" s="7"/>
      <c r="G126" s="7"/>
      <c r="H126" s="7"/>
      <c r="I126" s="7"/>
      <c r="J126" s="5"/>
      <c r="K126" s="5"/>
      <c r="L126" s="5"/>
      <c r="M126" s="7"/>
      <c r="N126" s="4"/>
      <c r="O126" s="4"/>
      <c r="P126" s="8" t="str">
        <f aca="true">IF(B126="","",IF(O126&lt;&gt;"",O126-B126,TODAY()-B126))</f>
        <v/>
      </c>
      <c r="Q126" s="9" t="str">
        <f aca="true">IF(OR(N126="",L126="完了"),"",IF(TODAY()&gt;N126,"超過",IF(TODAY()+3&gt;=N126,"間近","")))</f>
        <v/>
      </c>
      <c r="R126" s="5"/>
      <c r="S126" s="10"/>
      <c r="T126" s="7"/>
    </row>
    <row r="127" customFormat="false" ht="15" hidden="false" customHeight="false" outlineLevel="0" collapsed="false">
      <c r="A127" s="3"/>
      <c r="B127" s="4"/>
      <c r="C127" s="4"/>
      <c r="D127" s="5"/>
      <c r="E127" s="7"/>
      <c r="F127" s="7"/>
      <c r="G127" s="7"/>
      <c r="H127" s="7"/>
      <c r="I127" s="7"/>
      <c r="J127" s="5"/>
      <c r="K127" s="5"/>
      <c r="L127" s="5"/>
      <c r="M127" s="7"/>
      <c r="N127" s="4"/>
      <c r="O127" s="4"/>
      <c r="P127" s="8" t="str">
        <f aca="true">IF(B127="","",IF(O127&lt;&gt;"",O127-B127,TODAY()-B127))</f>
        <v/>
      </c>
      <c r="Q127" s="9" t="str">
        <f aca="true">IF(OR(N127="",L127="完了"),"",IF(TODAY()&gt;N127,"超過",IF(TODAY()+3&gt;=N127,"間近","")))</f>
        <v/>
      </c>
      <c r="R127" s="5"/>
      <c r="S127" s="10"/>
      <c r="T127" s="7"/>
    </row>
    <row r="128" customFormat="false" ht="15" hidden="false" customHeight="false" outlineLevel="0" collapsed="false">
      <c r="A128" s="3"/>
      <c r="B128" s="4"/>
      <c r="C128" s="4"/>
      <c r="D128" s="5"/>
      <c r="E128" s="7"/>
      <c r="F128" s="7"/>
      <c r="G128" s="7"/>
      <c r="H128" s="7"/>
      <c r="I128" s="7"/>
      <c r="J128" s="5"/>
      <c r="K128" s="5"/>
      <c r="L128" s="5"/>
      <c r="M128" s="7"/>
      <c r="N128" s="4"/>
      <c r="O128" s="4"/>
      <c r="P128" s="8" t="str">
        <f aca="true">IF(B128="","",IF(O128&lt;&gt;"",O128-B128,TODAY()-B128))</f>
        <v/>
      </c>
      <c r="Q128" s="9" t="str">
        <f aca="true">IF(OR(N128="",L128="完了"),"",IF(TODAY()&gt;N128,"超過",IF(TODAY()+3&gt;=N128,"間近","")))</f>
        <v/>
      </c>
      <c r="R128" s="5"/>
      <c r="S128" s="10"/>
      <c r="T128" s="7"/>
    </row>
    <row r="129" customFormat="false" ht="15" hidden="false" customHeight="false" outlineLevel="0" collapsed="false">
      <c r="A129" s="3"/>
      <c r="B129" s="4"/>
      <c r="C129" s="4"/>
      <c r="D129" s="5"/>
      <c r="E129" s="7"/>
      <c r="F129" s="7"/>
      <c r="G129" s="7"/>
      <c r="H129" s="7"/>
      <c r="I129" s="7"/>
      <c r="J129" s="5"/>
      <c r="K129" s="5"/>
      <c r="L129" s="5"/>
      <c r="M129" s="7"/>
      <c r="N129" s="4"/>
      <c r="O129" s="4"/>
      <c r="P129" s="8" t="str">
        <f aca="true">IF(B129="","",IF(O129&lt;&gt;"",O129-B129,TODAY()-B129))</f>
        <v/>
      </c>
      <c r="Q129" s="9" t="str">
        <f aca="true">IF(OR(N129="",L129="完了"),"",IF(TODAY()&gt;N129,"超過",IF(TODAY()+3&gt;=N129,"間近","")))</f>
        <v/>
      </c>
      <c r="R129" s="5"/>
      <c r="S129" s="10"/>
      <c r="T129" s="7"/>
    </row>
    <row r="130" customFormat="false" ht="15" hidden="false" customHeight="false" outlineLevel="0" collapsed="false">
      <c r="A130" s="3"/>
      <c r="B130" s="4"/>
      <c r="C130" s="4"/>
      <c r="D130" s="5"/>
      <c r="E130" s="7"/>
      <c r="F130" s="7"/>
      <c r="G130" s="7"/>
      <c r="H130" s="7"/>
      <c r="I130" s="7"/>
      <c r="J130" s="5"/>
      <c r="K130" s="5"/>
      <c r="L130" s="5"/>
      <c r="M130" s="7"/>
      <c r="N130" s="4"/>
      <c r="O130" s="4"/>
      <c r="P130" s="8" t="str">
        <f aca="true">IF(B130="","",IF(O130&lt;&gt;"",O130-B130,TODAY()-B130))</f>
        <v/>
      </c>
      <c r="Q130" s="9" t="str">
        <f aca="true">IF(OR(N130="",L130="完了"),"",IF(TODAY()&gt;N130,"超過",IF(TODAY()+3&gt;=N130,"間近","")))</f>
        <v/>
      </c>
      <c r="R130" s="5"/>
      <c r="S130" s="10"/>
      <c r="T130" s="7"/>
    </row>
    <row r="131" customFormat="false" ht="15" hidden="false" customHeight="false" outlineLevel="0" collapsed="false">
      <c r="A131" s="3"/>
      <c r="B131" s="4"/>
      <c r="C131" s="4"/>
      <c r="D131" s="5"/>
      <c r="E131" s="7"/>
      <c r="F131" s="7"/>
      <c r="G131" s="7"/>
      <c r="H131" s="7"/>
      <c r="I131" s="7"/>
      <c r="J131" s="5"/>
      <c r="K131" s="5"/>
      <c r="L131" s="5"/>
      <c r="M131" s="7"/>
      <c r="N131" s="4"/>
      <c r="O131" s="4"/>
      <c r="P131" s="8" t="str">
        <f aca="true">IF(B131="","",IF(O131&lt;&gt;"",O131-B131,TODAY()-B131))</f>
        <v/>
      </c>
      <c r="Q131" s="9" t="str">
        <f aca="true">IF(OR(N131="",L131="完了"),"",IF(TODAY()&gt;N131,"超過",IF(TODAY()+3&gt;=N131,"間近","")))</f>
        <v/>
      </c>
      <c r="R131" s="5"/>
      <c r="S131" s="10"/>
      <c r="T131" s="7"/>
    </row>
    <row r="132" customFormat="false" ht="15" hidden="false" customHeight="false" outlineLevel="0" collapsed="false">
      <c r="A132" s="3"/>
      <c r="B132" s="4"/>
      <c r="C132" s="4"/>
      <c r="D132" s="5"/>
      <c r="E132" s="7"/>
      <c r="F132" s="7"/>
      <c r="G132" s="7"/>
      <c r="H132" s="7"/>
      <c r="I132" s="7"/>
      <c r="J132" s="5"/>
      <c r="K132" s="5"/>
      <c r="L132" s="5"/>
      <c r="M132" s="7"/>
      <c r="N132" s="4"/>
      <c r="O132" s="4"/>
      <c r="P132" s="8" t="str">
        <f aca="true">IF(B132="","",IF(O132&lt;&gt;"",O132-B132,TODAY()-B132))</f>
        <v/>
      </c>
      <c r="Q132" s="9" t="str">
        <f aca="true">IF(OR(N132="",L132="完了"),"",IF(TODAY()&gt;N132,"超過",IF(TODAY()+3&gt;=N132,"間近","")))</f>
        <v/>
      </c>
      <c r="R132" s="5"/>
      <c r="S132" s="10"/>
      <c r="T132" s="7"/>
    </row>
    <row r="133" customFormat="false" ht="15" hidden="false" customHeight="false" outlineLevel="0" collapsed="false">
      <c r="A133" s="3"/>
      <c r="B133" s="4"/>
      <c r="C133" s="4"/>
      <c r="D133" s="5"/>
      <c r="E133" s="7"/>
      <c r="F133" s="7"/>
      <c r="G133" s="7"/>
      <c r="H133" s="7"/>
      <c r="I133" s="7"/>
      <c r="J133" s="5"/>
      <c r="K133" s="5"/>
      <c r="L133" s="5"/>
      <c r="M133" s="7"/>
      <c r="N133" s="4"/>
      <c r="O133" s="4"/>
      <c r="P133" s="8" t="str">
        <f aca="true">IF(B133="","",IF(O133&lt;&gt;"",O133-B133,TODAY()-B133))</f>
        <v/>
      </c>
      <c r="Q133" s="9" t="str">
        <f aca="true">IF(OR(N133="",L133="完了"),"",IF(TODAY()&gt;N133,"超過",IF(TODAY()+3&gt;=N133,"間近","")))</f>
        <v/>
      </c>
      <c r="R133" s="5"/>
      <c r="S133" s="10"/>
      <c r="T133" s="7"/>
    </row>
    <row r="134" customFormat="false" ht="15" hidden="false" customHeight="false" outlineLevel="0" collapsed="false">
      <c r="A134" s="3"/>
      <c r="B134" s="4"/>
      <c r="C134" s="4"/>
      <c r="D134" s="5"/>
      <c r="E134" s="7"/>
      <c r="F134" s="7"/>
      <c r="G134" s="7"/>
      <c r="H134" s="7"/>
      <c r="I134" s="7"/>
      <c r="J134" s="5"/>
      <c r="K134" s="5"/>
      <c r="L134" s="5"/>
      <c r="M134" s="7"/>
      <c r="N134" s="4"/>
      <c r="O134" s="4"/>
      <c r="P134" s="8" t="str">
        <f aca="true">IF(B134="","",IF(O134&lt;&gt;"",O134-B134,TODAY()-B134))</f>
        <v/>
      </c>
      <c r="Q134" s="9" t="str">
        <f aca="true">IF(OR(N134="",L134="完了"),"",IF(TODAY()&gt;N134,"超過",IF(TODAY()+3&gt;=N134,"間近","")))</f>
        <v/>
      </c>
      <c r="R134" s="5"/>
      <c r="S134" s="10"/>
      <c r="T134" s="7"/>
    </row>
    <row r="135" customFormat="false" ht="15" hidden="false" customHeight="false" outlineLevel="0" collapsed="false">
      <c r="A135" s="3"/>
      <c r="B135" s="4"/>
      <c r="C135" s="4"/>
      <c r="D135" s="5"/>
      <c r="E135" s="7"/>
      <c r="F135" s="7"/>
      <c r="G135" s="7"/>
      <c r="H135" s="7"/>
      <c r="I135" s="7"/>
      <c r="J135" s="5"/>
      <c r="K135" s="5"/>
      <c r="L135" s="5"/>
      <c r="M135" s="7"/>
      <c r="N135" s="4"/>
      <c r="O135" s="4"/>
      <c r="P135" s="8" t="str">
        <f aca="true">IF(B135="","",IF(O135&lt;&gt;"",O135-B135,TODAY()-B135))</f>
        <v/>
      </c>
      <c r="Q135" s="9" t="str">
        <f aca="true">IF(OR(N135="",L135="完了"),"",IF(TODAY()&gt;N135,"超過",IF(TODAY()+3&gt;=N135,"間近","")))</f>
        <v/>
      </c>
      <c r="R135" s="5"/>
      <c r="S135" s="10"/>
      <c r="T135" s="7"/>
    </row>
    <row r="136" customFormat="false" ht="15" hidden="false" customHeight="false" outlineLevel="0" collapsed="false">
      <c r="A136" s="3"/>
      <c r="B136" s="4"/>
      <c r="C136" s="4"/>
      <c r="D136" s="5"/>
      <c r="E136" s="7"/>
      <c r="F136" s="7"/>
      <c r="G136" s="7"/>
      <c r="H136" s="7"/>
      <c r="I136" s="7"/>
      <c r="J136" s="5"/>
      <c r="K136" s="5"/>
      <c r="L136" s="5"/>
      <c r="M136" s="7"/>
      <c r="N136" s="4"/>
      <c r="O136" s="4"/>
      <c r="P136" s="8" t="str">
        <f aca="true">IF(B136="","",IF(O136&lt;&gt;"",O136-B136,TODAY()-B136))</f>
        <v/>
      </c>
      <c r="Q136" s="9" t="str">
        <f aca="true">IF(OR(N136="",L136="完了"),"",IF(TODAY()&gt;N136,"超過",IF(TODAY()+3&gt;=N136,"間近","")))</f>
        <v/>
      </c>
      <c r="R136" s="5"/>
      <c r="S136" s="10"/>
      <c r="T136" s="7"/>
    </row>
    <row r="137" customFormat="false" ht="15" hidden="false" customHeight="false" outlineLevel="0" collapsed="false">
      <c r="A137" s="3"/>
      <c r="B137" s="4"/>
      <c r="C137" s="4"/>
      <c r="D137" s="5"/>
      <c r="E137" s="7"/>
      <c r="F137" s="7"/>
      <c r="G137" s="7"/>
      <c r="H137" s="7"/>
      <c r="I137" s="7"/>
      <c r="J137" s="5"/>
      <c r="K137" s="5"/>
      <c r="L137" s="5"/>
      <c r="M137" s="7"/>
      <c r="N137" s="4"/>
      <c r="O137" s="4"/>
      <c r="P137" s="8" t="str">
        <f aca="true">IF(B137="","",IF(O137&lt;&gt;"",O137-B137,TODAY()-B137))</f>
        <v/>
      </c>
      <c r="Q137" s="9" t="str">
        <f aca="true">IF(OR(N137="",L137="完了"),"",IF(TODAY()&gt;N137,"超過",IF(TODAY()+3&gt;=N137,"間近","")))</f>
        <v/>
      </c>
      <c r="R137" s="5"/>
      <c r="S137" s="10"/>
      <c r="T137" s="7"/>
    </row>
    <row r="138" customFormat="false" ht="15" hidden="false" customHeight="false" outlineLevel="0" collapsed="false">
      <c r="A138" s="3"/>
      <c r="B138" s="4"/>
      <c r="C138" s="4"/>
      <c r="D138" s="5"/>
      <c r="E138" s="7"/>
      <c r="F138" s="7"/>
      <c r="G138" s="7"/>
      <c r="H138" s="7"/>
      <c r="I138" s="7"/>
      <c r="J138" s="5"/>
      <c r="K138" s="5"/>
      <c r="L138" s="5"/>
      <c r="M138" s="7"/>
      <c r="N138" s="4"/>
      <c r="O138" s="4"/>
      <c r="P138" s="8" t="str">
        <f aca="true">IF(B138="","",IF(O138&lt;&gt;"",O138-B138,TODAY()-B138))</f>
        <v/>
      </c>
      <c r="Q138" s="9" t="str">
        <f aca="true">IF(OR(N138="",L138="完了"),"",IF(TODAY()&gt;N138,"超過",IF(TODAY()+3&gt;=N138,"間近","")))</f>
        <v/>
      </c>
      <c r="R138" s="5"/>
      <c r="S138" s="10"/>
      <c r="T138" s="7"/>
    </row>
    <row r="139" customFormat="false" ht="15" hidden="false" customHeight="false" outlineLevel="0" collapsed="false">
      <c r="A139" s="3"/>
      <c r="B139" s="4"/>
      <c r="C139" s="4"/>
      <c r="D139" s="5"/>
      <c r="E139" s="7"/>
      <c r="F139" s="7"/>
      <c r="G139" s="7"/>
      <c r="H139" s="7"/>
      <c r="I139" s="7"/>
      <c r="J139" s="5"/>
      <c r="K139" s="5"/>
      <c r="L139" s="5"/>
      <c r="M139" s="7"/>
      <c r="N139" s="4"/>
      <c r="O139" s="4"/>
      <c r="P139" s="8" t="str">
        <f aca="true">IF(B139="","",IF(O139&lt;&gt;"",O139-B139,TODAY()-B139))</f>
        <v/>
      </c>
      <c r="Q139" s="9" t="str">
        <f aca="true">IF(OR(N139="",L139="完了"),"",IF(TODAY()&gt;N139,"超過",IF(TODAY()+3&gt;=N139,"間近","")))</f>
        <v/>
      </c>
      <c r="R139" s="5"/>
      <c r="S139" s="10"/>
      <c r="T139" s="7"/>
    </row>
    <row r="140" customFormat="false" ht="15" hidden="false" customHeight="false" outlineLevel="0" collapsed="false">
      <c r="A140" s="3"/>
      <c r="B140" s="4"/>
      <c r="C140" s="4"/>
      <c r="D140" s="5"/>
      <c r="E140" s="7"/>
      <c r="F140" s="7"/>
      <c r="G140" s="7"/>
      <c r="H140" s="7"/>
      <c r="I140" s="7"/>
      <c r="J140" s="5"/>
      <c r="K140" s="5"/>
      <c r="L140" s="5"/>
      <c r="M140" s="7"/>
      <c r="N140" s="4"/>
      <c r="O140" s="4"/>
      <c r="P140" s="8" t="str">
        <f aca="true">IF(B140="","",IF(O140&lt;&gt;"",O140-B140,TODAY()-B140))</f>
        <v/>
      </c>
      <c r="Q140" s="9" t="str">
        <f aca="true">IF(OR(N140="",L140="完了"),"",IF(TODAY()&gt;N140,"超過",IF(TODAY()+3&gt;=N140,"間近","")))</f>
        <v/>
      </c>
      <c r="R140" s="5"/>
      <c r="S140" s="10"/>
      <c r="T140" s="7"/>
    </row>
    <row r="141" customFormat="false" ht="15" hidden="false" customHeight="false" outlineLevel="0" collapsed="false">
      <c r="A141" s="3"/>
      <c r="B141" s="4"/>
      <c r="C141" s="4"/>
      <c r="D141" s="5"/>
      <c r="E141" s="7"/>
      <c r="F141" s="7"/>
      <c r="G141" s="7"/>
      <c r="H141" s="7"/>
      <c r="I141" s="7"/>
      <c r="J141" s="5"/>
      <c r="K141" s="5"/>
      <c r="L141" s="5"/>
      <c r="M141" s="7"/>
      <c r="N141" s="4"/>
      <c r="O141" s="4"/>
      <c r="P141" s="8" t="str">
        <f aca="true">IF(B141="","",IF(O141&lt;&gt;"",O141-B141,TODAY()-B141))</f>
        <v/>
      </c>
      <c r="Q141" s="9" t="str">
        <f aca="true">IF(OR(N141="",L141="完了"),"",IF(TODAY()&gt;N141,"超過",IF(TODAY()+3&gt;=N141,"間近","")))</f>
        <v/>
      </c>
      <c r="R141" s="5"/>
      <c r="S141" s="10"/>
      <c r="T141" s="7"/>
    </row>
    <row r="142" customFormat="false" ht="15" hidden="false" customHeight="false" outlineLevel="0" collapsed="false">
      <c r="A142" s="3"/>
      <c r="B142" s="4"/>
      <c r="C142" s="4"/>
      <c r="D142" s="5"/>
      <c r="E142" s="7"/>
      <c r="F142" s="7"/>
      <c r="G142" s="7"/>
      <c r="H142" s="7"/>
      <c r="I142" s="7"/>
      <c r="J142" s="5"/>
      <c r="K142" s="5"/>
      <c r="L142" s="5"/>
      <c r="M142" s="7"/>
      <c r="N142" s="4"/>
      <c r="O142" s="4"/>
      <c r="P142" s="8" t="str">
        <f aca="true">IF(B142="","",IF(O142&lt;&gt;"",O142-B142,TODAY()-B142))</f>
        <v/>
      </c>
      <c r="Q142" s="9" t="str">
        <f aca="true">IF(OR(N142="",L142="完了"),"",IF(TODAY()&gt;N142,"超過",IF(TODAY()+3&gt;=N142,"間近","")))</f>
        <v/>
      </c>
      <c r="R142" s="5"/>
      <c r="S142" s="10"/>
      <c r="T142" s="7"/>
    </row>
    <row r="143" customFormat="false" ht="15" hidden="false" customHeight="false" outlineLevel="0" collapsed="false">
      <c r="A143" s="3"/>
      <c r="B143" s="4"/>
      <c r="C143" s="4"/>
      <c r="D143" s="5"/>
      <c r="E143" s="7"/>
      <c r="F143" s="7"/>
      <c r="G143" s="7"/>
      <c r="H143" s="7"/>
      <c r="I143" s="7"/>
      <c r="J143" s="5"/>
      <c r="K143" s="5"/>
      <c r="L143" s="5"/>
      <c r="M143" s="7"/>
      <c r="N143" s="4"/>
      <c r="O143" s="4"/>
      <c r="P143" s="8" t="str">
        <f aca="true">IF(B143="","",IF(O143&lt;&gt;"",O143-B143,TODAY()-B143))</f>
        <v/>
      </c>
      <c r="Q143" s="9" t="str">
        <f aca="true">IF(OR(N143="",L143="完了"),"",IF(TODAY()&gt;N143,"超過",IF(TODAY()+3&gt;=N143,"間近","")))</f>
        <v/>
      </c>
      <c r="R143" s="5"/>
      <c r="S143" s="10"/>
      <c r="T143" s="7"/>
    </row>
    <row r="144" customFormat="false" ht="15" hidden="false" customHeight="false" outlineLevel="0" collapsed="false">
      <c r="A144" s="3"/>
      <c r="B144" s="4"/>
      <c r="C144" s="4"/>
      <c r="D144" s="5"/>
      <c r="E144" s="7"/>
      <c r="F144" s="7"/>
      <c r="G144" s="7"/>
      <c r="H144" s="7"/>
      <c r="I144" s="7"/>
      <c r="J144" s="5"/>
      <c r="K144" s="5"/>
      <c r="L144" s="5"/>
      <c r="M144" s="7"/>
      <c r="N144" s="4"/>
      <c r="O144" s="4"/>
      <c r="P144" s="8" t="str">
        <f aca="true">IF(B144="","",IF(O144&lt;&gt;"",O144-B144,TODAY()-B144))</f>
        <v/>
      </c>
      <c r="Q144" s="9" t="str">
        <f aca="true">IF(OR(N144="",L144="完了"),"",IF(TODAY()&gt;N144,"超過",IF(TODAY()+3&gt;=N144,"間近","")))</f>
        <v/>
      </c>
      <c r="R144" s="5"/>
      <c r="S144" s="10"/>
      <c r="T144" s="7"/>
    </row>
    <row r="145" customFormat="false" ht="15" hidden="false" customHeight="false" outlineLevel="0" collapsed="false">
      <c r="A145" s="3"/>
      <c r="B145" s="4"/>
      <c r="C145" s="4"/>
      <c r="D145" s="5"/>
      <c r="E145" s="7"/>
      <c r="F145" s="7"/>
      <c r="G145" s="7"/>
      <c r="H145" s="7"/>
      <c r="I145" s="7"/>
      <c r="J145" s="5"/>
      <c r="K145" s="5"/>
      <c r="L145" s="5"/>
      <c r="M145" s="7"/>
      <c r="N145" s="4"/>
      <c r="O145" s="4"/>
      <c r="P145" s="8" t="str">
        <f aca="true">IF(B145="","",IF(O145&lt;&gt;"",O145-B145,TODAY()-B145))</f>
        <v/>
      </c>
      <c r="Q145" s="9" t="str">
        <f aca="true">IF(OR(N145="",L145="完了"),"",IF(TODAY()&gt;N145,"超過",IF(TODAY()+3&gt;=N145,"間近","")))</f>
        <v/>
      </c>
      <c r="R145" s="5"/>
      <c r="S145" s="10"/>
      <c r="T145" s="7"/>
    </row>
    <row r="146" customFormat="false" ht="15" hidden="false" customHeight="false" outlineLevel="0" collapsed="false">
      <c r="A146" s="3"/>
      <c r="B146" s="4"/>
      <c r="C146" s="4"/>
      <c r="D146" s="5"/>
      <c r="E146" s="7"/>
      <c r="F146" s="7"/>
      <c r="G146" s="7"/>
      <c r="H146" s="7"/>
      <c r="I146" s="7"/>
      <c r="J146" s="5"/>
      <c r="K146" s="5"/>
      <c r="L146" s="5"/>
      <c r="M146" s="7"/>
      <c r="N146" s="4"/>
      <c r="O146" s="4"/>
      <c r="P146" s="8" t="str">
        <f aca="true">IF(B146="","",IF(O146&lt;&gt;"",O146-B146,TODAY()-B146))</f>
        <v/>
      </c>
      <c r="Q146" s="9" t="str">
        <f aca="true">IF(OR(N146="",L146="完了"),"",IF(TODAY()&gt;N146,"超過",IF(TODAY()+3&gt;=N146,"間近","")))</f>
        <v/>
      </c>
      <c r="R146" s="5"/>
      <c r="S146" s="10"/>
      <c r="T146" s="7"/>
    </row>
    <row r="147" customFormat="false" ht="15" hidden="false" customHeight="false" outlineLevel="0" collapsed="false">
      <c r="A147" s="3"/>
      <c r="B147" s="4"/>
      <c r="C147" s="4"/>
      <c r="D147" s="5"/>
      <c r="E147" s="7"/>
      <c r="F147" s="7"/>
      <c r="G147" s="7"/>
      <c r="H147" s="7"/>
      <c r="I147" s="7"/>
      <c r="J147" s="5"/>
      <c r="K147" s="5"/>
      <c r="L147" s="5"/>
      <c r="M147" s="7"/>
      <c r="N147" s="4"/>
      <c r="O147" s="4"/>
      <c r="P147" s="8" t="str">
        <f aca="true">IF(B147="","",IF(O147&lt;&gt;"",O147-B147,TODAY()-B147))</f>
        <v/>
      </c>
      <c r="Q147" s="9" t="str">
        <f aca="true">IF(OR(N147="",L147="完了"),"",IF(TODAY()&gt;N147,"超過",IF(TODAY()+3&gt;=N147,"間近","")))</f>
        <v/>
      </c>
      <c r="R147" s="5"/>
      <c r="S147" s="10"/>
      <c r="T147" s="7"/>
    </row>
    <row r="148" customFormat="false" ht="15" hidden="false" customHeight="false" outlineLevel="0" collapsed="false">
      <c r="A148" s="3"/>
      <c r="B148" s="4"/>
      <c r="C148" s="4"/>
      <c r="D148" s="5"/>
      <c r="E148" s="7"/>
      <c r="F148" s="7"/>
      <c r="G148" s="7"/>
      <c r="H148" s="7"/>
      <c r="I148" s="7"/>
      <c r="J148" s="5"/>
      <c r="K148" s="5"/>
      <c r="L148" s="5"/>
      <c r="M148" s="7"/>
      <c r="N148" s="4"/>
      <c r="O148" s="4"/>
      <c r="P148" s="8" t="str">
        <f aca="true">IF(B148="","",IF(O148&lt;&gt;"",O148-B148,TODAY()-B148))</f>
        <v/>
      </c>
      <c r="Q148" s="9" t="str">
        <f aca="true">IF(OR(N148="",L148="完了"),"",IF(TODAY()&gt;N148,"超過",IF(TODAY()+3&gt;=N148,"間近","")))</f>
        <v/>
      </c>
      <c r="R148" s="5"/>
      <c r="S148" s="10"/>
      <c r="T148" s="7"/>
    </row>
    <row r="149" customFormat="false" ht="15" hidden="false" customHeight="false" outlineLevel="0" collapsed="false">
      <c r="A149" s="3"/>
      <c r="B149" s="4"/>
      <c r="C149" s="4"/>
      <c r="D149" s="5"/>
      <c r="E149" s="7"/>
      <c r="F149" s="7"/>
      <c r="G149" s="7"/>
      <c r="H149" s="7"/>
      <c r="I149" s="7"/>
      <c r="J149" s="5"/>
      <c r="K149" s="5"/>
      <c r="L149" s="5"/>
      <c r="M149" s="7"/>
      <c r="N149" s="4"/>
      <c r="O149" s="4"/>
      <c r="P149" s="8" t="str">
        <f aca="true">IF(B149="","",IF(O149&lt;&gt;"",O149-B149,TODAY()-B149))</f>
        <v/>
      </c>
      <c r="Q149" s="9" t="str">
        <f aca="true">IF(OR(N149="",L149="完了"),"",IF(TODAY()&gt;N149,"超過",IF(TODAY()+3&gt;=N149,"間近","")))</f>
        <v/>
      </c>
      <c r="R149" s="5"/>
      <c r="S149" s="10"/>
      <c r="T149" s="7"/>
    </row>
    <row r="150" customFormat="false" ht="15" hidden="false" customHeight="false" outlineLevel="0" collapsed="false">
      <c r="A150" s="3"/>
      <c r="B150" s="4"/>
      <c r="C150" s="4"/>
      <c r="D150" s="5"/>
      <c r="E150" s="7"/>
      <c r="F150" s="7"/>
      <c r="G150" s="7"/>
      <c r="H150" s="7"/>
      <c r="I150" s="7"/>
      <c r="J150" s="5"/>
      <c r="K150" s="5"/>
      <c r="L150" s="5"/>
      <c r="M150" s="7"/>
      <c r="N150" s="4"/>
      <c r="O150" s="4"/>
      <c r="P150" s="8" t="str">
        <f aca="true">IF(B150="","",IF(O150&lt;&gt;"",O150-B150,TODAY()-B150))</f>
        <v/>
      </c>
      <c r="Q150" s="9" t="str">
        <f aca="true">IF(OR(N150="",L150="完了"),"",IF(TODAY()&gt;N150,"超過",IF(TODAY()+3&gt;=N150,"間近","")))</f>
        <v/>
      </c>
      <c r="R150" s="5"/>
      <c r="S150" s="10"/>
      <c r="T150" s="7"/>
    </row>
    <row r="151" customFormat="false" ht="15" hidden="false" customHeight="false" outlineLevel="0" collapsed="false">
      <c r="A151" s="3"/>
      <c r="B151" s="4"/>
      <c r="C151" s="4"/>
      <c r="D151" s="5"/>
      <c r="E151" s="7"/>
      <c r="F151" s="7"/>
      <c r="G151" s="7"/>
      <c r="H151" s="7"/>
      <c r="I151" s="7"/>
      <c r="J151" s="5"/>
      <c r="K151" s="5"/>
      <c r="L151" s="5"/>
      <c r="M151" s="7"/>
      <c r="N151" s="4"/>
      <c r="O151" s="4"/>
      <c r="P151" s="8" t="str">
        <f aca="true">IF(B151="","",IF(O151&lt;&gt;"",O151-B151,TODAY()-B151))</f>
        <v/>
      </c>
      <c r="Q151" s="9" t="str">
        <f aca="true">IF(OR(N151="",L151="完了"),"",IF(TODAY()&gt;N151,"超過",IF(TODAY()+3&gt;=N151,"間近","")))</f>
        <v/>
      </c>
      <c r="R151" s="5"/>
      <c r="S151" s="10"/>
      <c r="T151" s="7"/>
    </row>
    <row r="152" customFormat="false" ht="15" hidden="false" customHeight="false" outlineLevel="0" collapsed="false">
      <c r="A152" s="3"/>
      <c r="B152" s="4"/>
      <c r="C152" s="4"/>
      <c r="D152" s="5"/>
      <c r="E152" s="7"/>
      <c r="F152" s="7"/>
      <c r="G152" s="7"/>
      <c r="H152" s="7"/>
      <c r="I152" s="7"/>
      <c r="J152" s="5"/>
      <c r="K152" s="5"/>
      <c r="L152" s="5"/>
      <c r="M152" s="7"/>
      <c r="N152" s="4"/>
      <c r="O152" s="4"/>
      <c r="P152" s="8" t="str">
        <f aca="true">IF(B152="","",IF(O152&lt;&gt;"",O152-B152,TODAY()-B152))</f>
        <v/>
      </c>
      <c r="Q152" s="9" t="str">
        <f aca="true">IF(OR(N152="",L152="完了"),"",IF(TODAY()&gt;N152,"超過",IF(TODAY()+3&gt;=N152,"間近","")))</f>
        <v/>
      </c>
      <c r="R152" s="5"/>
      <c r="S152" s="10"/>
      <c r="T152" s="7"/>
    </row>
    <row r="153" customFormat="false" ht="15" hidden="false" customHeight="false" outlineLevel="0" collapsed="false">
      <c r="A153" s="3"/>
      <c r="B153" s="4"/>
      <c r="C153" s="4"/>
      <c r="D153" s="5"/>
      <c r="E153" s="7"/>
      <c r="F153" s="7"/>
      <c r="G153" s="7"/>
      <c r="H153" s="7"/>
      <c r="I153" s="7"/>
      <c r="J153" s="5"/>
      <c r="K153" s="5"/>
      <c r="L153" s="5"/>
      <c r="M153" s="7"/>
      <c r="N153" s="4"/>
      <c r="O153" s="4"/>
      <c r="P153" s="8" t="str">
        <f aca="true">IF(B153="","",IF(O153&lt;&gt;"",O153-B153,TODAY()-B153))</f>
        <v/>
      </c>
      <c r="Q153" s="9" t="str">
        <f aca="true">IF(OR(N153="",L153="完了"),"",IF(TODAY()&gt;N153,"超過",IF(TODAY()+3&gt;=N153,"間近","")))</f>
        <v/>
      </c>
      <c r="R153" s="5"/>
      <c r="S153" s="10"/>
      <c r="T153" s="7"/>
    </row>
    <row r="154" customFormat="false" ht="15" hidden="false" customHeight="false" outlineLevel="0" collapsed="false">
      <c r="A154" s="3"/>
      <c r="B154" s="4"/>
      <c r="C154" s="4"/>
      <c r="D154" s="5"/>
      <c r="E154" s="7"/>
      <c r="F154" s="7"/>
      <c r="G154" s="7"/>
      <c r="H154" s="7"/>
      <c r="I154" s="7"/>
      <c r="J154" s="5"/>
      <c r="K154" s="5"/>
      <c r="L154" s="5"/>
      <c r="M154" s="7"/>
      <c r="N154" s="4"/>
      <c r="O154" s="4"/>
      <c r="P154" s="8" t="str">
        <f aca="true">IF(B154="","",IF(O154&lt;&gt;"",O154-B154,TODAY()-B154))</f>
        <v/>
      </c>
      <c r="Q154" s="9" t="str">
        <f aca="true">IF(OR(N154="",L154="完了"),"",IF(TODAY()&gt;N154,"超過",IF(TODAY()+3&gt;=N154,"間近","")))</f>
        <v/>
      </c>
      <c r="R154" s="5"/>
      <c r="S154" s="10"/>
      <c r="T154" s="7"/>
    </row>
    <row r="155" customFormat="false" ht="15" hidden="false" customHeight="false" outlineLevel="0" collapsed="false">
      <c r="A155" s="3"/>
      <c r="B155" s="4"/>
      <c r="C155" s="4"/>
      <c r="D155" s="5"/>
      <c r="E155" s="7"/>
      <c r="F155" s="7"/>
      <c r="G155" s="7"/>
      <c r="H155" s="7"/>
      <c r="I155" s="7"/>
      <c r="J155" s="5"/>
      <c r="K155" s="5"/>
      <c r="L155" s="5"/>
      <c r="M155" s="7"/>
      <c r="N155" s="4"/>
      <c r="O155" s="4"/>
      <c r="P155" s="8" t="str">
        <f aca="true">IF(B155="","",IF(O155&lt;&gt;"",O155-B155,TODAY()-B155))</f>
        <v/>
      </c>
      <c r="Q155" s="9" t="str">
        <f aca="true">IF(OR(N155="",L155="完了"),"",IF(TODAY()&gt;N155,"超過",IF(TODAY()+3&gt;=N155,"間近","")))</f>
        <v/>
      </c>
      <c r="R155" s="5"/>
      <c r="S155" s="10"/>
      <c r="T155" s="7"/>
    </row>
    <row r="156" customFormat="false" ht="15" hidden="false" customHeight="false" outlineLevel="0" collapsed="false">
      <c r="A156" s="3"/>
      <c r="B156" s="4"/>
      <c r="C156" s="4"/>
      <c r="D156" s="5"/>
      <c r="E156" s="7"/>
      <c r="F156" s="7"/>
      <c r="G156" s="7"/>
      <c r="H156" s="7"/>
      <c r="I156" s="7"/>
      <c r="J156" s="5"/>
      <c r="K156" s="5"/>
      <c r="L156" s="5"/>
      <c r="M156" s="7"/>
      <c r="N156" s="4"/>
      <c r="O156" s="4"/>
      <c r="P156" s="8" t="str">
        <f aca="true">IF(B156="","",IF(O156&lt;&gt;"",O156-B156,TODAY()-B156))</f>
        <v/>
      </c>
      <c r="Q156" s="9" t="str">
        <f aca="true">IF(OR(N156="",L156="完了"),"",IF(TODAY()&gt;N156,"超過",IF(TODAY()+3&gt;=N156,"間近","")))</f>
        <v/>
      </c>
      <c r="R156" s="5"/>
      <c r="S156" s="10"/>
      <c r="T156" s="7"/>
    </row>
    <row r="157" customFormat="false" ht="15" hidden="false" customHeight="false" outlineLevel="0" collapsed="false">
      <c r="A157" s="3"/>
      <c r="B157" s="4"/>
      <c r="C157" s="4"/>
      <c r="D157" s="5"/>
      <c r="E157" s="7"/>
      <c r="F157" s="7"/>
      <c r="G157" s="7"/>
      <c r="H157" s="7"/>
      <c r="I157" s="7"/>
      <c r="J157" s="5"/>
      <c r="K157" s="5"/>
      <c r="L157" s="5"/>
      <c r="M157" s="7"/>
      <c r="N157" s="4"/>
      <c r="O157" s="4"/>
      <c r="P157" s="8" t="str">
        <f aca="true">IF(B157="","",IF(O157&lt;&gt;"",O157-B157,TODAY()-B157))</f>
        <v/>
      </c>
      <c r="Q157" s="9" t="str">
        <f aca="true">IF(OR(N157="",L157="完了"),"",IF(TODAY()&gt;N157,"超過",IF(TODAY()+3&gt;=N157,"間近","")))</f>
        <v/>
      </c>
      <c r="R157" s="5"/>
      <c r="S157" s="10"/>
      <c r="T157" s="7"/>
    </row>
    <row r="158" customFormat="false" ht="15" hidden="false" customHeight="false" outlineLevel="0" collapsed="false">
      <c r="A158" s="3"/>
      <c r="B158" s="4"/>
      <c r="C158" s="4"/>
      <c r="D158" s="5"/>
      <c r="E158" s="7"/>
      <c r="F158" s="7"/>
      <c r="G158" s="7"/>
      <c r="H158" s="7"/>
      <c r="I158" s="7"/>
      <c r="J158" s="5"/>
      <c r="K158" s="5"/>
      <c r="L158" s="5"/>
      <c r="M158" s="7"/>
      <c r="N158" s="4"/>
      <c r="O158" s="4"/>
      <c r="P158" s="8" t="str">
        <f aca="true">IF(B158="","",IF(O158&lt;&gt;"",O158-B158,TODAY()-B158))</f>
        <v/>
      </c>
      <c r="Q158" s="9" t="str">
        <f aca="true">IF(OR(N158="",L158="完了"),"",IF(TODAY()&gt;N158,"超過",IF(TODAY()+3&gt;=N158,"間近","")))</f>
        <v/>
      </c>
      <c r="R158" s="5"/>
      <c r="S158" s="10"/>
      <c r="T158" s="7"/>
    </row>
    <row r="159" customFormat="false" ht="15" hidden="false" customHeight="false" outlineLevel="0" collapsed="false">
      <c r="A159" s="3"/>
      <c r="B159" s="4"/>
      <c r="C159" s="4"/>
      <c r="D159" s="5"/>
      <c r="E159" s="7"/>
      <c r="F159" s="7"/>
      <c r="G159" s="7"/>
      <c r="H159" s="7"/>
      <c r="I159" s="7"/>
      <c r="J159" s="5"/>
      <c r="K159" s="5"/>
      <c r="L159" s="5"/>
      <c r="M159" s="7"/>
      <c r="N159" s="4"/>
      <c r="O159" s="4"/>
      <c r="P159" s="8" t="str">
        <f aca="true">IF(B159="","",IF(O159&lt;&gt;"",O159-B159,TODAY()-B159))</f>
        <v/>
      </c>
      <c r="Q159" s="9" t="str">
        <f aca="true">IF(OR(N159="",L159="完了"),"",IF(TODAY()&gt;N159,"超過",IF(TODAY()+3&gt;=N159,"間近","")))</f>
        <v/>
      </c>
      <c r="R159" s="5"/>
      <c r="S159" s="10"/>
      <c r="T159" s="7"/>
    </row>
    <row r="160" customFormat="false" ht="15" hidden="false" customHeight="false" outlineLevel="0" collapsed="false">
      <c r="A160" s="3"/>
      <c r="B160" s="4"/>
      <c r="C160" s="4"/>
      <c r="D160" s="5"/>
      <c r="E160" s="7"/>
      <c r="F160" s="7"/>
      <c r="G160" s="7"/>
      <c r="H160" s="7"/>
      <c r="I160" s="7"/>
      <c r="J160" s="5"/>
      <c r="K160" s="5"/>
      <c r="L160" s="5"/>
      <c r="M160" s="7"/>
      <c r="N160" s="4"/>
      <c r="O160" s="4"/>
      <c r="P160" s="8" t="str">
        <f aca="true">IF(B160="","",IF(O160&lt;&gt;"",O160-B160,TODAY()-B160))</f>
        <v/>
      </c>
      <c r="Q160" s="9" t="str">
        <f aca="true">IF(OR(N160="",L160="完了"),"",IF(TODAY()&gt;N160,"超過",IF(TODAY()+3&gt;=N160,"間近","")))</f>
        <v/>
      </c>
      <c r="R160" s="5"/>
      <c r="S160" s="10"/>
      <c r="T160" s="7"/>
    </row>
    <row r="161" customFormat="false" ht="15" hidden="false" customHeight="false" outlineLevel="0" collapsed="false">
      <c r="A161" s="3"/>
      <c r="B161" s="4"/>
      <c r="C161" s="4"/>
      <c r="D161" s="5"/>
      <c r="E161" s="7"/>
      <c r="F161" s="7"/>
      <c r="G161" s="7"/>
      <c r="H161" s="7"/>
      <c r="I161" s="7"/>
      <c r="J161" s="5"/>
      <c r="K161" s="5"/>
      <c r="L161" s="5"/>
      <c r="M161" s="7"/>
      <c r="N161" s="4"/>
      <c r="O161" s="4"/>
      <c r="P161" s="8" t="str">
        <f aca="true">IF(B161="","",IF(O161&lt;&gt;"",O161-B161,TODAY()-B161))</f>
        <v/>
      </c>
      <c r="Q161" s="9" t="str">
        <f aca="true">IF(OR(N161="",L161="完了"),"",IF(TODAY()&gt;N161,"超過",IF(TODAY()+3&gt;=N161,"間近","")))</f>
        <v/>
      </c>
      <c r="R161" s="5"/>
      <c r="S161" s="10"/>
      <c r="T161" s="7"/>
    </row>
    <row r="162" customFormat="false" ht="15" hidden="false" customHeight="false" outlineLevel="0" collapsed="false">
      <c r="A162" s="3"/>
      <c r="B162" s="4"/>
      <c r="C162" s="4"/>
      <c r="D162" s="5"/>
      <c r="E162" s="7"/>
      <c r="F162" s="7"/>
      <c r="G162" s="7"/>
      <c r="H162" s="7"/>
      <c r="I162" s="7"/>
      <c r="J162" s="5"/>
      <c r="K162" s="5"/>
      <c r="L162" s="5"/>
      <c r="M162" s="7"/>
      <c r="N162" s="4"/>
      <c r="O162" s="4"/>
      <c r="P162" s="8" t="str">
        <f aca="true">IF(B162="","",IF(O162&lt;&gt;"",O162-B162,TODAY()-B162))</f>
        <v/>
      </c>
      <c r="Q162" s="9" t="str">
        <f aca="true">IF(OR(N162="",L162="完了"),"",IF(TODAY()&gt;N162,"超過",IF(TODAY()+3&gt;=N162,"間近","")))</f>
        <v/>
      </c>
      <c r="R162" s="5"/>
      <c r="S162" s="10"/>
      <c r="T162" s="7"/>
    </row>
    <row r="163" customFormat="false" ht="15" hidden="false" customHeight="false" outlineLevel="0" collapsed="false">
      <c r="A163" s="3"/>
      <c r="B163" s="4"/>
      <c r="C163" s="4"/>
      <c r="D163" s="5"/>
      <c r="E163" s="7"/>
      <c r="F163" s="7"/>
      <c r="G163" s="7"/>
      <c r="H163" s="7"/>
      <c r="I163" s="7"/>
      <c r="J163" s="5"/>
      <c r="K163" s="5"/>
      <c r="L163" s="5"/>
      <c r="M163" s="7"/>
      <c r="N163" s="4"/>
      <c r="O163" s="4"/>
      <c r="P163" s="8" t="str">
        <f aca="true">IF(B163="","",IF(O163&lt;&gt;"",O163-B163,TODAY()-B163))</f>
        <v/>
      </c>
      <c r="Q163" s="9" t="str">
        <f aca="true">IF(OR(N163="",L163="完了"),"",IF(TODAY()&gt;N163,"超過",IF(TODAY()+3&gt;=N163,"間近","")))</f>
        <v/>
      </c>
      <c r="R163" s="5"/>
      <c r="S163" s="10"/>
      <c r="T163" s="7"/>
    </row>
    <row r="164" customFormat="false" ht="15" hidden="false" customHeight="false" outlineLevel="0" collapsed="false">
      <c r="A164" s="3"/>
      <c r="B164" s="4"/>
      <c r="C164" s="4"/>
      <c r="D164" s="5"/>
      <c r="E164" s="7"/>
      <c r="F164" s="7"/>
      <c r="G164" s="7"/>
      <c r="H164" s="7"/>
      <c r="I164" s="7"/>
      <c r="J164" s="5"/>
      <c r="K164" s="5"/>
      <c r="L164" s="5"/>
      <c r="M164" s="7"/>
      <c r="N164" s="4"/>
      <c r="O164" s="4"/>
      <c r="P164" s="8" t="str">
        <f aca="true">IF(B164="","",IF(O164&lt;&gt;"",O164-B164,TODAY()-B164))</f>
        <v/>
      </c>
      <c r="Q164" s="9" t="str">
        <f aca="true">IF(OR(N164="",L164="完了"),"",IF(TODAY()&gt;N164,"超過",IF(TODAY()+3&gt;=N164,"間近","")))</f>
        <v/>
      </c>
      <c r="R164" s="5"/>
      <c r="S164" s="10"/>
      <c r="T164" s="7"/>
    </row>
    <row r="165" customFormat="false" ht="15" hidden="false" customHeight="false" outlineLevel="0" collapsed="false">
      <c r="A165" s="3"/>
      <c r="B165" s="4"/>
      <c r="C165" s="4"/>
      <c r="D165" s="5"/>
      <c r="E165" s="7"/>
      <c r="F165" s="7"/>
      <c r="G165" s="7"/>
      <c r="H165" s="7"/>
      <c r="I165" s="7"/>
      <c r="J165" s="5"/>
      <c r="K165" s="5"/>
      <c r="L165" s="5"/>
      <c r="M165" s="7"/>
      <c r="N165" s="4"/>
      <c r="O165" s="4"/>
      <c r="P165" s="8" t="str">
        <f aca="true">IF(B165="","",IF(O165&lt;&gt;"",O165-B165,TODAY()-B165))</f>
        <v/>
      </c>
      <c r="Q165" s="9" t="str">
        <f aca="true">IF(OR(N165="",L165="完了"),"",IF(TODAY()&gt;N165,"超過",IF(TODAY()+3&gt;=N165,"間近","")))</f>
        <v/>
      </c>
      <c r="R165" s="5"/>
      <c r="S165" s="10"/>
      <c r="T165" s="7"/>
    </row>
    <row r="166" customFormat="false" ht="15" hidden="false" customHeight="false" outlineLevel="0" collapsed="false">
      <c r="A166" s="3"/>
      <c r="B166" s="4"/>
      <c r="C166" s="4"/>
      <c r="D166" s="5"/>
      <c r="E166" s="7"/>
      <c r="F166" s="7"/>
      <c r="G166" s="7"/>
      <c r="H166" s="7"/>
      <c r="I166" s="7"/>
      <c r="J166" s="5"/>
      <c r="K166" s="5"/>
      <c r="L166" s="5"/>
      <c r="M166" s="7"/>
      <c r="N166" s="4"/>
      <c r="O166" s="4"/>
      <c r="P166" s="8" t="str">
        <f aca="true">IF(B166="","",IF(O166&lt;&gt;"",O166-B166,TODAY()-B166))</f>
        <v/>
      </c>
      <c r="Q166" s="9" t="str">
        <f aca="true">IF(OR(N166="",L166="完了"),"",IF(TODAY()&gt;N166,"超過",IF(TODAY()+3&gt;=N166,"間近","")))</f>
        <v/>
      </c>
      <c r="R166" s="5"/>
      <c r="S166" s="10"/>
      <c r="T166" s="7"/>
    </row>
    <row r="167" customFormat="false" ht="15" hidden="false" customHeight="false" outlineLevel="0" collapsed="false">
      <c r="A167" s="3"/>
      <c r="B167" s="4"/>
      <c r="C167" s="4"/>
      <c r="D167" s="5"/>
      <c r="E167" s="7"/>
      <c r="F167" s="7"/>
      <c r="G167" s="7"/>
      <c r="H167" s="7"/>
      <c r="I167" s="7"/>
      <c r="J167" s="5"/>
      <c r="K167" s="5"/>
      <c r="L167" s="5"/>
      <c r="M167" s="7"/>
      <c r="N167" s="4"/>
      <c r="O167" s="4"/>
      <c r="P167" s="8" t="str">
        <f aca="true">IF(B167="","",IF(O167&lt;&gt;"",O167-B167,TODAY()-B167))</f>
        <v/>
      </c>
      <c r="Q167" s="9" t="str">
        <f aca="true">IF(OR(N167="",L167="完了"),"",IF(TODAY()&gt;N167,"超過",IF(TODAY()+3&gt;=N167,"間近","")))</f>
        <v/>
      </c>
      <c r="R167" s="5"/>
      <c r="S167" s="10"/>
      <c r="T167" s="7"/>
    </row>
    <row r="168" customFormat="false" ht="15" hidden="false" customHeight="false" outlineLevel="0" collapsed="false">
      <c r="A168" s="3"/>
      <c r="B168" s="4"/>
      <c r="C168" s="4"/>
      <c r="D168" s="5"/>
      <c r="E168" s="7"/>
      <c r="F168" s="7"/>
      <c r="G168" s="7"/>
      <c r="H168" s="7"/>
      <c r="I168" s="7"/>
      <c r="J168" s="5"/>
      <c r="K168" s="5"/>
      <c r="L168" s="5"/>
      <c r="M168" s="7"/>
      <c r="N168" s="4"/>
      <c r="O168" s="4"/>
      <c r="P168" s="8" t="str">
        <f aca="true">IF(B168="","",IF(O168&lt;&gt;"",O168-B168,TODAY()-B168))</f>
        <v/>
      </c>
      <c r="Q168" s="9" t="str">
        <f aca="true">IF(OR(N168="",L168="完了"),"",IF(TODAY()&gt;N168,"超過",IF(TODAY()+3&gt;=N168,"間近","")))</f>
        <v/>
      </c>
      <c r="R168" s="5"/>
      <c r="S168" s="10"/>
      <c r="T168" s="7"/>
    </row>
    <row r="169" customFormat="false" ht="15" hidden="false" customHeight="false" outlineLevel="0" collapsed="false">
      <c r="A169" s="3"/>
      <c r="B169" s="4"/>
      <c r="C169" s="4"/>
      <c r="D169" s="5"/>
      <c r="E169" s="7"/>
      <c r="F169" s="7"/>
      <c r="G169" s="7"/>
      <c r="H169" s="7"/>
      <c r="I169" s="7"/>
      <c r="J169" s="5"/>
      <c r="K169" s="5"/>
      <c r="L169" s="5"/>
      <c r="M169" s="7"/>
      <c r="N169" s="4"/>
      <c r="O169" s="4"/>
      <c r="P169" s="8" t="str">
        <f aca="true">IF(B169="","",IF(O169&lt;&gt;"",O169-B169,TODAY()-B169))</f>
        <v/>
      </c>
      <c r="Q169" s="9" t="str">
        <f aca="true">IF(OR(N169="",L169="完了"),"",IF(TODAY()&gt;N169,"超過",IF(TODAY()+3&gt;=N169,"間近","")))</f>
        <v/>
      </c>
      <c r="R169" s="5"/>
      <c r="S169" s="10"/>
      <c r="T169" s="7"/>
    </row>
    <row r="170" customFormat="false" ht="15" hidden="false" customHeight="false" outlineLevel="0" collapsed="false">
      <c r="A170" s="3"/>
      <c r="B170" s="4"/>
      <c r="C170" s="4"/>
      <c r="D170" s="5"/>
      <c r="E170" s="7"/>
      <c r="F170" s="7"/>
      <c r="G170" s="7"/>
      <c r="H170" s="7"/>
      <c r="I170" s="7"/>
      <c r="J170" s="5"/>
      <c r="K170" s="5"/>
      <c r="L170" s="5"/>
      <c r="M170" s="7"/>
      <c r="N170" s="4"/>
      <c r="O170" s="4"/>
      <c r="P170" s="8" t="str">
        <f aca="true">IF(B170="","",IF(O170&lt;&gt;"",O170-B170,TODAY()-B170))</f>
        <v/>
      </c>
      <c r="Q170" s="9" t="str">
        <f aca="true">IF(OR(N170="",L170="完了"),"",IF(TODAY()&gt;N170,"超過",IF(TODAY()+3&gt;=N170,"間近","")))</f>
        <v/>
      </c>
      <c r="R170" s="5"/>
      <c r="S170" s="10"/>
      <c r="T170" s="7"/>
    </row>
    <row r="171" customFormat="false" ht="15" hidden="false" customHeight="false" outlineLevel="0" collapsed="false">
      <c r="A171" s="3"/>
      <c r="B171" s="4"/>
      <c r="C171" s="4"/>
      <c r="D171" s="5"/>
      <c r="E171" s="7"/>
      <c r="F171" s="7"/>
      <c r="G171" s="7"/>
      <c r="H171" s="7"/>
      <c r="I171" s="7"/>
      <c r="J171" s="5"/>
      <c r="K171" s="5"/>
      <c r="L171" s="5"/>
      <c r="M171" s="7"/>
      <c r="N171" s="4"/>
      <c r="O171" s="4"/>
      <c r="P171" s="8" t="str">
        <f aca="true">IF(B171="","",IF(O171&lt;&gt;"",O171-B171,TODAY()-B171))</f>
        <v/>
      </c>
      <c r="Q171" s="9" t="str">
        <f aca="true">IF(OR(N171="",L171="完了"),"",IF(TODAY()&gt;N171,"超過",IF(TODAY()+3&gt;=N171,"間近","")))</f>
        <v/>
      </c>
      <c r="R171" s="5"/>
      <c r="S171" s="10"/>
      <c r="T171" s="7"/>
    </row>
    <row r="172" customFormat="false" ht="15" hidden="false" customHeight="false" outlineLevel="0" collapsed="false">
      <c r="A172" s="3"/>
      <c r="B172" s="4"/>
      <c r="C172" s="4"/>
      <c r="D172" s="5"/>
      <c r="E172" s="7"/>
      <c r="F172" s="7"/>
      <c r="G172" s="7"/>
      <c r="H172" s="7"/>
      <c r="I172" s="7"/>
      <c r="J172" s="5"/>
      <c r="K172" s="5"/>
      <c r="L172" s="5"/>
      <c r="M172" s="7"/>
      <c r="N172" s="4"/>
      <c r="O172" s="4"/>
      <c r="P172" s="8" t="str">
        <f aca="true">IF(B172="","",IF(O172&lt;&gt;"",O172-B172,TODAY()-B172))</f>
        <v/>
      </c>
      <c r="Q172" s="9" t="str">
        <f aca="true">IF(OR(N172="",L172="完了"),"",IF(TODAY()&gt;N172,"超過",IF(TODAY()+3&gt;=N172,"間近","")))</f>
        <v/>
      </c>
      <c r="R172" s="5"/>
      <c r="S172" s="10"/>
      <c r="T172" s="7"/>
    </row>
    <row r="173" customFormat="false" ht="15" hidden="false" customHeight="false" outlineLevel="0" collapsed="false">
      <c r="A173" s="3"/>
      <c r="B173" s="4"/>
      <c r="C173" s="4"/>
      <c r="D173" s="5"/>
      <c r="E173" s="7"/>
      <c r="F173" s="7"/>
      <c r="G173" s="7"/>
      <c r="H173" s="7"/>
      <c r="I173" s="7"/>
      <c r="J173" s="5"/>
      <c r="K173" s="5"/>
      <c r="L173" s="5"/>
      <c r="M173" s="7"/>
      <c r="N173" s="4"/>
      <c r="O173" s="4"/>
      <c r="P173" s="8" t="str">
        <f aca="true">IF(B173="","",IF(O173&lt;&gt;"",O173-B173,TODAY()-B173))</f>
        <v/>
      </c>
      <c r="Q173" s="9" t="str">
        <f aca="true">IF(OR(N173="",L173="完了"),"",IF(TODAY()&gt;N173,"超過",IF(TODAY()+3&gt;=N173,"間近","")))</f>
        <v/>
      </c>
      <c r="R173" s="5"/>
      <c r="S173" s="10"/>
      <c r="T173" s="7"/>
    </row>
    <row r="174" customFormat="false" ht="15" hidden="false" customHeight="false" outlineLevel="0" collapsed="false">
      <c r="A174" s="3"/>
      <c r="B174" s="4"/>
      <c r="C174" s="4"/>
      <c r="D174" s="5"/>
      <c r="E174" s="7"/>
      <c r="F174" s="7"/>
      <c r="G174" s="7"/>
      <c r="H174" s="7"/>
      <c r="I174" s="7"/>
      <c r="J174" s="5"/>
      <c r="K174" s="5"/>
      <c r="L174" s="5"/>
      <c r="M174" s="7"/>
      <c r="N174" s="4"/>
      <c r="O174" s="4"/>
      <c r="P174" s="8" t="str">
        <f aca="true">IF(B174="","",IF(O174&lt;&gt;"",O174-B174,TODAY()-B174))</f>
        <v/>
      </c>
      <c r="Q174" s="9" t="str">
        <f aca="true">IF(OR(N174="",L174="完了"),"",IF(TODAY()&gt;N174,"超過",IF(TODAY()+3&gt;=N174,"間近","")))</f>
        <v/>
      </c>
      <c r="R174" s="5"/>
      <c r="S174" s="10"/>
      <c r="T174" s="7"/>
    </row>
    <row r="175" customFormat="false" ht="15" hidden="false" customHeight="false" outlineLevel="0" collapsed="false">
      <c r="A175" s="3"/>
      <c r="B175" s="4"/>
      <c r="C175" s="4"/>
      <c r="D175" s="5"/>
      <c r="E175" s="7"/>
      <c r="F175" s="7"/>
      <c r="G175" s="7"/>
      <c r="H175" s="7"/>
      <c r="I175" s="7"/>
      <c r="J175" s="5"/>
      <c r="K175" s="5"/>
      <c r="L175" s="5"/>
      <c r="M175" s="7"/>
      <c r="N175" s="4"/>
      <c r="O175" s="4"/>
      <c r="P175" s="8" t="str">
        <f aca="true">IF(B175="","",IF(O175&lt;&gt;"",O175-B175,TODAY()-B175))</f>
        <v/>
      </c>
      <c r="Q175" s="9" t="str">
        <f aca="true">IF(OR(N175="",L175="完了"),"",IF(TODAY()&gt;N175,"超過",IF(TODAY()+3&gt;=N175,"間近","")))</f>
        <v/>
      </c>
      <c r="R175" s="5"/>
      <c r="S175" s="10"/>
      <c r="T175" s="7"/>
    </row>
    <row r="176" customFormat="false" ht="15" hidden="false" customHeight="false" outlineLevel="0" collapsed="false">
      <c r="A176" s="3"/>
      <c r="B176" s="4"/>
      <c r="C176" s="4"/>
      <c r="D176" s="5"/>
      <c r="E176" s="7"/>
      <c r="F176" s="7"/>
      <c r="G176" s="7"/>
      <c r="H176" s="7"/>
      <c r="I176" s="7"/>
      <c r="J176" s="5"/>
      <c r="K176" s="5"/>
      <c r="L176" s="5"/>
      <c r="M176" s="7"/>
      <c r="N176" s="4"/>
      <c r="O176" s="4"/>
      <c r="P176" s="8" t="str">
        <f aca="true">IF(B176="","",IF(O176&lt;&gt;"",O176-B176,TODAY()-B176))</f>
        <v/>
      </c>
      <c r="Q176" s="9" t="str">
        <f aca="true">IF(OR(N176="",L176="完了"),"",IF(TODAY()&gt;N176,"超過",IF(TODAY()+3&gt;=N176,"間近","")))</f>
        <v/>
      </c>
      <c r="R176" s="5"/>
      <c r="S176" s="10"/>
      <c r="T176" s="7"/>
    </row>
    <row r="177" customFormat="false" ht="15" hidden="false" customHeight="false" outlineLevel="0" collapsed="false">
      <c r="A177" s="3"/>
      <c r="B177" s="4"/>
      <c r="C177" s="4"/>
      <c r="D177" s="5"/>
      <c r="E177" s="7"/>
      <c r="F177" s="7"/>
      <c r="G177" s="7"/>
      <c r="H177" s="7"/>
      <c r="I177" s="7"/>
      <c r="J177" s="5"/>
      <c r="K177" s="5"/>
      <c r="L177" s="5"/>
      <c r="M177" s="7"/>
      <c r="N177" s="4"/>
      <c r="O177" s="4"/>
      <c r="P177" s="8" t="str">
        <f aca="true">IF(B177="","",IF(O177&lt;&gt;"",O177-B177,TODAY()-B177))</f>
        <v/>
      </c>
      <c r="Q177" s="9" t="str">
        <f aca="true">IF(OR(N177="",L177="完了"),"",IF(TODAY()&gt;N177,"超過",IF(TODAY()+3&gt;=N177,"間近","")))</f>
        <v/>
      </c>
      <c r="R177" s="5"/>
      <c r="S177" s="10"/>
      <c r="T177" s="7"/>
    </row>
    <row r="178" customFormat="false" ht="15" hidden="false" customHeight="false" outlineLevel="0" collapsed="false">
      <c r="A178" s="3"/>
      <c r="B178" s="4"/>
      <c r="C178" s="4"/>
      <c r="D178" s="5"/>
      <c r="E178" s="7"/>
      <c r="F178" s="7"/>
      <c r="G178" s="7"/>
      <c r="H178" s="7"/>
      <c r="I178" s="7"/>
      <c r="J178" s="5"/>
      <c r="K178" s="5"/>
      <c r="L178" s="5"/>
      <c r="M178" s="7"/>
      <c r="N178" s="4"/>
      <c r="O178" s="4"/>
      <c r="P178" s="8" t="str">
        <f aca="true">IF(B178="","",IF(O178&lt;&gt;"",O178-B178,TODAY()-B178))</f>
        <v/>
      </c>
      <c r="Q178" s="9" t="str">
        <f aca="true">IF(OR(N178="",L178="完了"),"",IF(TODAY()&gt;N178,"超過",IF(TODAY()+3&gt;=N178,"間近","")))</f>
        <v/>
      </c>
      <c r="R178" s="5"/>
      <c r="S178" s="10"/>
      <c r="T178" s="7"/>
    </row>
    <row r="179" customFormat="false" ht="15" hidden="false" customHeight="false" outlineLevel="0" collapsed="false">
      <c r="A179" s="3"/>
      <c r="B179" s="4"/>
      <c r="C179" s="4"/>
      <c r="D179" s="5"/>
      <c r="E179" s="7"/>
      <c r="F179" s="7"/>
      <c r="G179" s="7"/>
      <c r="H179" s="7"/>
      <c r="I179" s="7"/>
      <c r="J179" s="5"/>
      <c r="K179" s="5"/>
      <c r="L179" s="5"/>
      <c r="M179" s="7"/>
      <c r="N179" s="4"/>
      <c r="O179" s="4"/>
      <c r="P179" s="8" t="str">
        <f aca="true">IF(B179="","",IF(O179&lt;&gt;"",O179-B179,TODAY()-B179))</f>
        <v/>
      </c>
      <c r="Q179" s="9" t="str">
        <f aca="true">IF(OR(N179="",L179="完了"),"",IF(TODAY()&gt;N179,"超過",IF(TODAY()+3&gt;=N179,"間近","")))</f>
        <v/>
      </c>
      <c r="R179" s="5"/>
      <c r="S179" s="10"/>
      <c r="T179" s="7"/>
    </row>
    <row r="180" customFormat="false" ht="15" hidden="false" customHeight="false" outlineLevel="0" collapsed="false">
      <c r="A180" s="3"/>
      <c r="B180" s="4"/>
      <c r="C180" s="4"/>
      <c r="D180" s="5"/>
      <c r="E180" s="7"/>
      <c r="F180" s="7"/>
      <c r="G180" s="7"/>
      <c r="H180" s="7"/>
      <c r="I180" s="7"/>
      <c r="J180" s="5"/>
      <c r="K180" s="5"/>
      <c r="L180" s="5"/>
      <c r="M180" s="7"/>
      <c r="N180" s="4"/>
      <c r="O180" s="4"/>
      <c r="P180" s="8" t="str">
        <f aca="true">IF(B180="","",IF(O180&lt;&gt;"",O180-B180,TODAY()-B180))</f>
        <v/>
      </c>
      <c r="Q180" s="9" t="str">
        <f aca="true">IF(OR(N180="",L180="完了"),"",IF(TODAY()&gt;N180,"超過",IF(TODAY()+3&gt;=N180,"間近","")))</f>
        <v/>
      </c>
      <c r="R180" s="5"/>
      <c r="S180" s="10"/>
      <c r="T180" s="7"/>
    </row>
    <row r="181" customFormat="false" ht="15" hidden="false" customHeight="false" outlineLevel="0" collapsed="false">
      <c r="A181" s="3"/>
      <c r="B181" s="4"/>
      <c r="C181" s="4"/>
      <c r="D181" s="5"/>
      <c r="E181" s="7"/>
      <c r="F181" s="7"/>
      <c r="G181" s="7"/>
      <c r="H181" s="7"/>
      <c r="I181" s="7"/>
      <c r="J181" s="5"/>
      <c r="K181" s="5"/>
      <c r="L181" s="5"/>
      <c r="M181" s="7"/>
      <c r="N181" s="4"/>
      <c r="O181" s="4"/>
      <c r="P181" s="8" t="str">
        <f aca="true">IF(B181="","",IF(O181&lt;&gt;"",O181-B181,TODAY()-B181))</f>
        <v/>
      </c>
      <c r="Q181" s="9" t="str">
        <f aca="true">IF(OR(N181="",L181="完了"),"",IF(TODAY()&gt;N181,"超過",IF(TODAY()+3&gt;=N181,"間近","")))</f>
        <v/>
      </c>
      <c r="R181" s="5"/>
      <c r="S181" s="10"/>
      <c r="T181" s="7"/>
    </row>
    <row r="182" customFormat="false" ht="15" hidden="false" customHeight="false" outlineLevel="0" collapsed="false">
      <c r="A182" s="3"/>
      <c r="B182" s="4"/>
      <c r="C182" s="4"/>
      <c r="D182" s="5"/>
      <c r="E182" s="7"/>
      <c r="F182" s="7"/>
      <c r="G182" s="7"/>
      <c r="H182" s="7"/>
      <c r="I182" s="7"/>
      <c r="J182" s="5"/>
      <c r="K182" s="5"/>
      <c r="L182" s="5"/>
      <c r="M182" s="7"/>
      <c r="N182" s="4"/>
      <c r="O182" s="4"/>
      <c r="P182" s="8" t="str">
        <f aca="true">IF(B182="","",IF(O182&lt;&gt;"",O182-B182,TODAY()-B182))</f>
        <v/>
      </c>
      <c r="Q182" s="9" t="str">
        <f aca="true">IF(OR(N182="",L182="完了"),"",IF(TODAY()&gt;N182,"超過",IF(TODAY()+3&gt;=N182,"間近","")))</f>
        <v/>
      </c>
      <c r="R182" s="5"/>
      <c r="S182" s="10"/>
      <c r="T182" s="7"/>
    </row>
    <row r="183" customFormat="false" ht="15" hidden="false" customHeight="false" outlineLevel="0" collapsed="false">
      <c r="A183" s="3"/>
      <c r="B183" s="4"/>
      <c r="C183" s="4"/>
      <c r="D183" s="5"/>
      <c r="E183" s="7"/>
      <c r="F183" s="7"/>
      <c r="G183" s="7"/>
      <c r="H183" s="7"/>
      <c r="I183" s="7"/>
      <c r="J183" s="5"/>
      <c r="K183" s="5"/>
      <c r="L183" s="5"/>
      <c r="M183" s="7"/>
      <c r="N183" s="4"/>
      <c r="O183" s="4"/>
      <c r="P183" s="8" t="str">
        <f aca="true">IF(B183="","",IF(O183&lt;&gt;"",O183-B183,TODAY()-B183))</f>
        <v/>
      </c>
      <c r="Q183" s="9" t="str">
        <f aca="true">IF(OR(N183="",L183="完了"),"",IF(TODAY()&gt;N183,"超過",IF(TODAY()+3&gt;=N183,"間近","")))</f>
        <v/>
      </c>
      <c r="R183" s="5"/>
      <c r="S183" s="10"/>
      <c r="T183" s="7"/>
    </row>
    <row r="184" customFormat="false" ht="15" hidden="false" customHeight="false" outlineLevel="0" collapsed="false">
      <c r="A184" s="3"/>
      <c r="B184" s="4"/>
      <c r="C184" s="4"/>
      <c r="D184" s="5"/>
      <c r="E184" s="7"/>
      <c r="F184" s="7"/>
      <c r="G184" s="7"/>
      <c r="H184" s="7"/>
      <c r="I184" s="7"/>
      <c r="J184" s="5"/>
      <c r="K184" s="5"/>
      <c r="L184" s="5"/>
      <c r="M184" s="7"/>
      <c r="N184" s="4"/>
      <c r="O184" s="4"/>
      <c r="P184" s="8" t="str">
        <f aca="true">IF(B184="","",IF(O184&lt;&gt;"",O184-B184,TODAY()-B184))</f>
        <v/>
      </c>
      <c r="Q184" s="9" t="str">
        <f aca="true">IF(OR(N184="",L184="完了"),"",IF(TODAY()&gt;N184,"超過",IF(TODAY()+3&gt;=N184,"間近","")))</f>
        <v/>
      </c>
      <c r="R184" s="5"/>
      <c r="S184" s="10"/>
      <c r="T184" s="7"/>
    </row>
    <row r="185" customFormat="false" ht="15" hidden="false" customHeight="false" outlineLevel="0" collapsed="false">
      <c r="A185" s="3"/>
      <c r="B185" s="4"/>
      <c r="C185" s="4"/>
      <c r="D185" s="5"/>
      <c r="E185" s="7"/>
      <c r="F185" s="7"/>
      <c r="G185" s="7"/>
      <c r="H185" s="7"/>
      <c r="I185" s="7"/>
      <c r="J185" s="5"/>
      <c r="K185" s="5"/>
      <c r="L185" s="5"/>
      <c r="M185" s="7"/>
      <c r="N185" s="4"/>
      <c r="O185" s="4"/>
      <c r="P185" s="8" t="str">
        <f aca="true">IF(B185="","",IF(O185&lt;&gt;"",O185-B185,TODAY()-B185))</f>
        <v/>
      </c>
      <c r="Q185" s="9" t="str">
        <f aca="true">IF(OR(N185="",L185="完了"),"",IF(TODAY()&gt;N185,"超過",IF(TODAY()+3&gt;=N185,"間近","")))</f>
        <v/>
      </c>
      <c r="R185" s="5"/>
      <c r="S185" s="10"/>
      <c r="T185" s="7"/>
    </row>
    <row r="186" customFormat="false" ht="15" hidden="false" customHeight="false" outlineLevel="0" collapsed="false">
      <c r="A186" s="3"/>
      <c r="B186" s="4"/>
      <c r="C186" s="4"/>
      <c r="D186" s="5"/>
      <c r="E186" s="7"/>
      <c r="F186" s="7"/>
      <c r="G186" s="7"/>
      <c r="H186" s="7"/>
      <c r="I186" s="7"/>
      <c r="J186" s="5"/>
      <c r="K186" s="5"/>
      <c r="L186" s="5"/>
      <c r="M186" s="7"/>
      <c r="N186" s="4"/>
      <c r="O186" s="4"/>
      <c r="P186" s="8" t="str">
        <f aca="true">IF(B186="","",IF(O186&lt;&gt;"",O186-B186,TODAY()-B186))</f>
        <v/>
      </c>
      <c r="Q186" s="9" t="str">
        <f aca="true">IF(OR(N186="",L186="完了"),"",IF(TODAY()&gt;N186,"超過",IF(TODAY()+3&gt;=N186,"間近","")))</f>
        <v/>
      </c>
      <c r="R186" s="5"/>
      <c r="S186" s="10"/>
      <c r="T186" s="7"/>
    </row>
    <row r="187" customFormat="false" ht="15" hidden="false" customHeight="false" outlineLevel="0" collapsed="false">
      <c r="A187" s="3"/>
      <c r="B187" s="4"/>
      <c r="C187" s="4"/>
      <c r="D187" s="5"/>
      <c r="E187" s="7"/>
      <c r="F187" s="7"/>
      <c r="G187" s="7"/>
      <c r="H187" s="7"/>
      <c r="I187" s="7"/>
      <c r="J187" s="5"/>
      <c r="K187" s="5"/>
      <c r="L187" s="5"/>
      <c r="M187" s="7"/>
      <c r="N187" s="4"/>
      <c r="O187" s="4"/>
      <c r="P187" s="8" t="str">
        <f aca="true">IF(B187="","",IF(O187&lt;&gt;"",O187-B187,TODAY()-B187))</f>
        <v/>
      </c>
      <c r="Q187" s="9" t="str">
        <f aca="true">IF(OR(N187="",L187="完了"),"",IF(TODAY()&gt;N187,"超過",IF(TODAY()+3&gt;=N187,"間近","")))</f>
        <v/>
      </c>
      <c r="R187" s="5"/>
      <c r="S187" s="10"/>
      <c r="T187" s="7"/>
    </row>
    <row r="188" customFormat="false" ht="15" hidden="false" customHeight="false" outlineLevel="0" collapsed="false">
      <c r="A188" s="3"/>
      <c r="B188" s="4"/>
      <c r="C188" s="4"/>
      <c r="D188" s="5"/>
      <c r="E188" s="7"/>
      <c r="F188" s="7"/>
      <c r="G188" s="7"/>
      <c r="H188" s="7"/>
      <c r="I188" s="7"/>
      <c r="J188" s="5"/>
      <c r="K188" s="5"/>
      <c r="L188" s="5"/>
      <c r="M188" s="7"/>
      <c r="N188" s="4"/>
      <c r="O188" s="4"/>
      <c r="P188" s="8" t="str">
        <f aca="true">IF(B188="","",IF(O188&lt;&gt;"",O188-B188,TODAY()-B188))</f>
        <v/>
      </c>
      <c r="Q188" s="9" t="str">
        <f aca="true">IF(OR(N188="",L188="完了"),"",IF(TODAY()&gt;N188,"超過",IF(TODAY()+3&gt;=N188,"間近","")))</f>
        <v/>
      </c>
      <c r="R188" s="5"/>
      <c r="S188" s="10"/>
      <c r="T188" s="7"/>
    </row>
    <row r="189" customFormat="false" ht="15" hidden="false" customHeight="false" outlineLevel="0" collapsed="false">
      <c r="A189" s="3"/>
      <c r="B189" s="4"/>
      <c r="C189" s="4"/>
      <c r="D189" s="5"/>
      <c r="E189" s="7"/>
      <c r="F189" s="7"/>
      <c r="G189" s="7"/>
      <c r="H189" s="7"/>
      <c r="I189" s="7"/>
      <c r="J189" s="5"/>
      <c r="K189" s="5"/>
      <c r="L189" s="5"/>
      <c r="M189" s="7"/>
      <c r="N189" s="4"/>
      <c r="O189" s="4"/>
      <c r="P189" s="8" t="str">
        <f aca="true">IF(B189="","",IF(O189&lt;&gt;"",O189-B189,TODAY()-B189))</f>
        <v/>
      </c>
      <c r="Q189" s="9" t="str">
        <f aca="true">IF(OR(N189="",L189="完了"),"",IF(TODAY()&gt;N189,"超過",IF(TODAY()+3&gt;=N189,"間近","")))</f>
        <v/>
      </c>
      <c r="R189" s="5"/>
      <c r="S189" s="10"/>
      <c r="T189" s="7"/>
    </row>
    <row r="190" customFormat="false" ht="15" hidden="false" customHeight="false" outlineLevel="0" collapsed="false">
      <c r="A190" s="3"/>
      <c r="B190" s="4"/>
      <c r="C190" s="4"/>
      <c r="D190" s="5"/>
      <c r="E190" s="7"/>
      <c r="F190" s="7"/>
      <c r="G190" s="7"/>
      <c r="H190" s="7"/>
      <c r="I190" s="7"/>
      <c r="J190" s="5"/>
      <c r="K190" s="5"/>
      <c r="L190" s="5"/>
      <c r="M190" s="7"/>
      <c r="N190" s="4"/>
      <c r="O190" s="4"/>
      <c r="P190" s="8" t="str">
        <f aca="true">IF(B190="","",IF(O190&lt;&gt;"",O190-B190,TODAY()-B190))</f>
        <v/>
      </c>
      <c r="Q190" s="9" t="str">
        <f aca="true">IF(OR(N190="",L190="完了"),"",IF(TODAY()&gt;N190,"超過",IF(TODAY()+3&gt;=N190,"間近","")))</f>
        <v/>
      </c>
      <c r="R190" s="5"/>
      <c r="S190" s="10"/>
      <c r="T190" s="7"/>
    </row>
    <row r="191" customFormat="false" ht="15" hidden="false" customHeight="false" outlineLevel="0" collapsed="false">
      <c r="A191" s="3"/>
      <c r="B191" s="4"/>
      <c r="C191" s="4"/>
      <c r="D191" s="5"/>
      <c r="E191" s="7"/>
      <c r="F191" s="7"/>
      <c r="G191" s="7"/>
      <c r="H191" s="7"/>
      <c r="I191" s="7"/>
      <c r="J191" s="5"/>
      <c r="K191" s="5"/>
      <c r="L191" s="5"/>
      <c r="M191" s="7"/>
      <c r="N191" s="4"/>
      <c r="O191" s="4"/>
      <c r="P191" s="8" t="str">
        <f aca="true">IF(B191="","",IF(O191&lt;&gt;"",O191-B191,TODAY()-B191))</f>
        <v/>
      </c>
      <c r="Q191" s="9" t="str">
        <f aca="true">IF(OR(N191="",L191="完了"),"",IF(TODAY()&gt;N191,"超過",IF(TODAY()+3&gt;=N191,"間近","")))</f>
        <v/>
      </c>
      <c r="R191" s="5"/>
      <c r="S191" s="10"/>
      <c r="T191" s="7"/>
    </row>
    <row r="192" customFormat="false" ht="15" hidden="false" customHeight="false" outlineLevel="0" collapsed="false">
      <c r="A192" s="3"/>
      <c r="B192" s="4"/>
      <c r="C192" s="4"/>
      <c r="D192" s="5"/>
      <c r="E192" s="7"/>
      <c r="F192" s="7"/>
      <c r="G192" s="7"/>
      <c r="H192" s="7"/>
      <c r="I192" s="7"/>
      <c r="J192" s="5"/>
      <c r="K192" s="5"/>
      <c r="L192" s="5"/>
      <c r="M192" s="7"/>
      <c r="N192" s="4"/>
      <c r="O192" s="4"/>
      <c r="P192" s="8" t="str">
        <f aca="true">IF(B192="","",IF(O192&lt;&gt;"",O192-B192,TODAY()-B192))</f>
        <v/>
      </c>
      <c r="Q192" s="9" t="str">
        <f aca="true">IF(OR(N192="",L192="完了"),"",IF(TODAY()&gt;N192,"超過",IF(TODAY()+3&gt;=N192,"間近","")))</f>
        <v/>
      </c>
      <c r="R192" s="5"/>
      <c r="S192" s="10"/>
      <c r="T192" s="7"/>
    </row>
    <row r="193" customFormat="false" ht="15" hidden="false" customHeight="false" outlineLevel="0" collapsed="false">
      <c r="A193" s="3"/>
      <c r="B193" s="4"/>
      <c r="C193" s="4"/>
      <c r="D193" s="5"/>
      <c r="E193" s="7"/>
      <c r="F193" s="7"/>
      <c r="G193" s="7"/>
      <c r="H193" s="7"/>
      <c r="I193" s="7"/>
      <c r="J193" s="5"/>
      <c r="K193" s="5"/>
      <c r="L193" s="5"/>
      <c r="M193" s="7"/>
      <c r="N193" s="4"/>
      <c r="O193" s="4"/>
      <c r="P193" s="8" t="str">
        <f aca="true">IF(B193="","",IF(O193&lt;&gt;"",O193-B193,TODAY()-B193))</f>
        <v/>
      </c>
      <c r="Q193" s="9" t="str">
        <f aca="true">IF(OR(N193="",L193="完了"),"",IF(TODAY()&gt;N193,"超過",IF(TODAY()+3&gt;=N193,"間近","")))</f>
        <v/>
      </c>
      <c r="R193" s="5"/>
      <c r="S193" s="10"/>
      <c r="T193" s="7"/>
    </row>
    <row r="194" customFormat="false" ht="15" hidden="false" customHeight="false" outlineLevel="0" collapsed="false">
      <c r="A194" s="3"/>
      <c r="B194" s="4"/>
      <c r="C194" s="4"/>
      <c r="D194" s="5"/>
      <c r="E194" s="7"/>
      <c r="F194" s="7"/>
      <c r="G194" s="7"/>
      <c r="H194" s="7"/>
      <c r="I194" s="7"/>
      <c r="J194" s="5"/>
      <c r="K194" s="5"/>
      <c r="L194" s="5"/>
      <c r="M194" s="7"/>
      <c r="N194" s="4"/>
      <c r="O194" s="4"/>
      <c r="P194" s="8" t="str">
        <f aca="true">IF(B194="","",IF(O194&lt;&gt;"",O194-B194,TODAY()-B194))</f>
        <v/>
      </c>
      <c r="Q194" s="9" t="str">
        <f aca="true">IF(OR(N194="",L194="完了"),"",IF(TODAY()&gt;N194,"超過",IF(TODAY()+3&gt;=N194,"間近","")))</f>
        <v/>
      </c>
      <c r="R194" s="5"/>
      <c r="S194" s="10"/>
      <c r="T194" s="7"/>
    </row>
    <row r="195" customFormat="false" ht="15" hidden="false" customHeight="false" outlineLevel="0" collapsed="false">
      <c r="A195" s="3"/>
      <c r="B195" s="4"/>
      <c r="C195" s="4"/>
      <c r="D195" s="5"/>
      <c r="E195" s="7"/>
      <c r="F195" s="7"/>
      <c r="G195" s="7"/>
      <c r="H195" s="7"/>
      <c r="I195" s="7"/>
      <c r="J195" s="5"/>
      <c r="K195" s="5"/>
      <c r="L195" s="5"/>
      <c r="M195" s="7"/>
      <c r="N195" s="4"/>
      <c r="O195" s="4"/>
      <c r="P195" s="8" t="str">
        <f aca="true">IF(B195="","",IF(O195&lt;&gt;"",O195-B195,TODAY()-B195))</f>
        <v/>
      </c>
      <c r="Q195" s="9" t="str">
        <f aca="true">IF(OR(N195="",L195="完了"),"",IF(TODAY()&gt;N195,"超過",IF(TODAY()+3&gt;=N195,"間近","")))</f>
        <v/>
      </c>
      <c r="R195" s="5"/>
      <c r="S195" s="10"/>
      <c r="T195" s="7"/>
    </row>
    <row r="196" customFormat="false" ht="15" hidden="false" customHeight="false" outlineLevel="0" collapsed="false">
      <c r="A196" s="3"/>
      <c r="B196" s="4"/>
      <c r="C196" s="4"/>
      <c r="D196" s="5"/>
      <c r="E196" s="7"/>
      <c r="F196" s="7"/>
      <c r="G196" s="7"/>
      <c r="H196" s="7"/>
      <c r="I196" s="7"/>
      <c r="J196" s="5"/>
      <c r="K196" s="5"/>
      <c r="L196" s="5"/>
      <c r="M196" s="7"/>
      <c r="N196" s="4"/>
      <c r="O196" s="4"/>
      <c r="P196" s="8" t="str">
        <f aca="true">IF(B196="","",IF(O196&lt;&gt;"",O196-B196,TODAY()-B196))</f>
        <v/>
      </c>
      <c r="Q196" s="9" t="str">
        <f aca="true">IF(OR(N196="",L196="完了"),"",IF(TODAY()&gt;N196,"超過",IF(TODAY()+3&gt;=N196,"間近","")))</f>
        <v/>
      </c>
      <c r="R196" s="5"/>
      <c r="S196" s="10"/>
      <c r="T196" s="7"/>
    </row>
    <row r="197" customFormat="false" ht="15" hidden="false" customHeight="false" outlineLevel="0" collapsed="false">
      <c r="A197" s="3"/>
      <c r="B197" s="4"/>
      <c r="C197" s="4"/>
      <c r="D197" s="5"/>
      <c r="E197" s="7"/>
      <c r="F197" s="7"/>
      <c r="G197" s="7"/>
      <c r="H197" s="7"/>
      <c r="I197" s="7"/>
      <c r="J197" s="5"/>
      <c r="K197" s="5"/>
      <c r="L197" s="5"/>
      <c r="M197" s="7"/>
      <c r="N197" s="4"/>
      <c r="O197" s="4"/>
      <c r="P197" s="8" t="str">
        <f aca="true">IF(B197="","",IF(O197&lt;&gt;"",O197-B197,TODAY()-B197))</f>
        <v/>
      </c>
      <c r="Q197" s="9" t="str">
        <f aca="true">IF(OR(N197="",L197="完了"),"",IF(TODAY()&gt;N197,"超過",IF(TODAY()+3&gt;=N197,"間近","")))</f>
        <v/>
      </c>
      <c r="R197" s="5"/>
      <c r="S197" s="10"/>
      <c r="T197" s="7"/>
    </row>
    <row r="198" customFormat="false" ht="15" hidden="false" customHeight="false" outlineLevel="0" collapsed="false">
      <c r="A198" s="3"/>
      <c r="B198" s="4"/>
      <c r="C198" s="4"/>
      <c r="D198" s="5"/>
      <c r="E198" s="7"/>
      <c r="F198" s="7"/>
      <c r="G198" s="7"/>
      <c r="H198" s="7"/>
      <c r="I198" s="7"/>
      <c r="J198" s="5"/>
      <c r="K198" s="5"/>
      <c r="L198" s="5"/>
      <c r="M198" s="7"/>
      <c r="N198" s="4"/>
      <c r="O198" s="4"/>
      <c r="P198" s="8" t="str">
        <f aca="true">IF(B198="","",IF(O198&lt;&gt;"",O198-B198,TODAY()-B198))</f>
        <v/>
      </c>
      <c r="Q198" s="9" t="str">
        <f aca="true">IF(OR(N198="",L198="完了"),"",IF(TODAY()&gt;N198,"超過",IF(TODAY()+3&gt;=N198,"間近","")))</f>
        <v/>
      </c>
      <c r="R198" s="5"/>
      <c r="S198" s="10"/>
      <c r="T198" s="7"/>
    </row>
    <row r="199" customFormat="false" ht="15" hidden="false" customHeight="false" outlineLevel="0" collapsed="false">
      <c r="A199" s="3"/>
      <c r="B199" s="4"/>
      <c r="C199" s="4"/>
      <c r="D199" s="5"/>
      <c r="E199" s="7"/>
      <c r="F199" s="7"/>
      <c r="G199" s="7"/>
      <c r="H199" s="7"/>
      <c r="I199" s="7"/>
      <c r="J199" s="5"/>
      <c r="K199" s="5"/>
      <c r="L199" s="5"/>
      <c r="M199" s="7"/>
      <c r="N199" s="4"/>
      <c r="O199" s="4"/>
      <c r="P199" s="8" t="str">
        <f aca="true">IF(B199="","",IF(O199&lt;&gt;"",O199-B199,TODAY()-B199))</f>
        <v/>
      </c>
      <c r="Q199" s="9" t="str">
        <f aca="true">IF(OR(N199="",L199="完了"),"",IF(TODAY()&gt;N199,"超過",IF(TODAY()+3&gt;=N199,"間近","")))</f>
        <v/>
      </c>
      <c r="R199" s="5"/>
      <c r="S199" s="10"/>
      <c r="T199" s="7"/>
    </row>
    <row r="200" customFormat="false" ht="15" hidden="false" customHeight="false" outlineLevel="0" collapsed="false">
      <c r="A200" s="3"/>
      <c r="B200" s="4"/>
      <c r="C200" s="4"/>
      <c r="D200" s="5"/>
      <c r="E200" s="7"/>
      <c r="F200" s="7"/>
      <c r="G200" s="7"/>
      <c r="H200" s="7"/>
      <c r="I200" s="7"/>
      <c r="J200" s="5"/>
      <c r="K200" s="5"/>
      <c r="L200" s="5"/>
      <c r="M200" s="7"/>
      <c r="N200" s="4"/>
      <c r="O200" s="4"/>
      <c r="P200" s="8" t="str">
        <f aca="true">IF(B200="","",IF(O200&lt;&gt;"",O200-B200,TODAY()-B200))</f>
        <v/>
      </c>
      <c r="Q200" s="9" t="str">
        <f aca="true">IF(OR(N200="",L200="完了"),"",IF(TODAY()&gt;N200,"超過",IF(TODAY()+3&gt;=N200,"間近","")))</f>
        <v/>
      </c>
      <c r="R200" s="5"/>
      <c r="S200" s="10"/>
      <c r="T200" s="7"/>
    </row>
    <row r="201" customFormat="false" ht="15" hidden="false" customHeight="false" outlineLevel="0" collapsed="false">
      <c r="A201" s="3"/>
      <c r="B201" s="4"/>
      <c r="C201" s="4"/>
      <c r="D201" s="5"/>
      <c r="E201" s="7"/>
      <c r="F201" s="7"/>
      <c r="G201" s="7"/>
      <c r="H201" s="7"/>
      <c r="I201" s="7"/>
      <c r="J201" s="5"/>
      <c r="K201" s="5"/>
      <c r="L201" s="5"/>
      <c r="M201" s="7"/>
      <c r="N201" s="4"/>
      <c r="O201" s="4"/>
      <c r="P201" s="8" t="str">
        <f aca="true">IF(B201="","",IF(O201&lt;&gt;"",O201-B201,TODAY()-B201))</f>
        <v/>
      </c>
      <c r="Q201" s="9" t="str">
        <f aca="true">IF(OR(N201="",L201="完了"),"",IF(TODAY()&gt;N201,"超過",IF(TODAY()+3&gt;=N201,"間近","")))</f>
        <v/>
      </c>
      <c r="R201" s="5"/>
      <c r="S201" s="10"/>
      <c r="T201" s="7"/>
    </row>
    <row r="202" customFormat="false" ht="15" hidden="false" customHeight="false" outlineLevel="0" collapsed="false">
      <c r="A202" s="3"/>
      <c r="B202" s="4"/>
      <c r="C202" s="4"/>
      <c r="D202" s="5"/>
      <c r="E202" s="7"/>
      <c r="F202" s="7"/>
      <c r="G202" s="7"/>
      <c r="H202" s="7"/>
      <c r="I202" s="7"/>
      <c r="J202" s="5"/>
      <c r="K202" s="5"/>
      <c r="L202" s="5"/>
      <c r="M202" s="7"/>
      <c r="N202" s="4"/>
      <c r="O202" s="4"/>
      <c r="P202" s="8" t="str">
        <f aca="true">IF(B202="","",IF(O202&lt;&gt;"",O202-B202,TODAY()-B202))</f>
        <v/>
      </c>
      <c r="Q202" s="9" t="str">
        <f aca="true">IF(OR(N202="",L202="完了"),"",IF(TODAY()&gt;N202,"超過",IF(TODAY()+3&gt;=N202,"間近","")))</f>
        <v/>
      </c>
      <c r="R202" s="5"/>
      <c r="S202" s="10"/>
      <c r="T202" s="7"/>
    </row>
    <row r="203" customFormat="false" ht="15" hidden="false" customHeight="false" outlineLevel="0" collapsed="false">
      <c r="A203" s="3"/>
      <c r="B203" s="4"/>
      <c r="C203" s="4"/>
      <c r="D203" s="5"/>
      <c r="E203" s="7"/>
      <c r="F203" s="7"/>
      <c r="G203" s="7"/>
      <c r="H203" s="7"/>
      <c r="I203" s="7"/>
      <c r="J203" s="5"/>
      <c r="K203" s="5"/>
      <c r="L203" s="5"/>
      <c r="M203" s="7"/>
      <c r="N203" s="4"/>
      <c r="O203" s="4"/>
      <c r="P203" s="8" t="str">
        <f aca="true">IF(B203="","",IF(O203&lt;&gt;"",O203-B203,TODAY()-B203))</f>
        <v/>
      </c>
      <c r="Q203" s="9" t="str">
        <f aca="true">IF(OR(N203="",L203="完了"),"",IF(TODAY()&gt;N203,"超過",IF(TODAY()+3&gt;=N203,"間近","")))</f>
        <v/>
      </c>
      <c r="R203" s="5"/>
      <c r="S203" s="10"/>
      <c r="T203" s="7"/>
    </row>
    <row r="204" customFormat="false" ht="15" hidden="false" customHeight="false" outlineLevel="0" collapsed="false">
      <c r="A204" s="3"/>
      <c r="B204" s="4"/>
      <c r="C204" s="4"/>
      <c r="D204" s="5"/>
      <c r="E204" s="7"/>
      <c r="F204" s="7"/>
      <c r="G204" s="7"/>
      <c r="H204" s="7"/>
      <c r="I204" s="7"/>
      <c r="J204" s="5"/>
      <c r="K204" s="5"/>
      <c r="L204" s="5"/>
      <c r="M204" s="7"/>
      <c r="N204" s="4"/>
      <c r="O204" s="4"/>
      <c r="P204" s="8" t="str">
        <f aca="true">IF(B204="","",IF(O204&lt;&gt;"",O204-B204,TODAY()-B204))</f>
        <v/>
      </c>
      <c r="Q204" s="9" t="str">
        <f aca="true">IF(OR(N204="",L204="完了"),"",IF(TODAY()&gt;N204,"超過",IF(TODAY()+3&gt;=N204,"間近","")))</f>
        <v/>
      </c>
      <c r="R204" s="5"/>
      <c r="S204" s="10"/>
      <c r="T204" s="7"/>
    </row>
    <row r="205" customFormat="false" ht="15" hidden="false" customHeight="false" outlineLevel="0" collapsed="false">
      <c r="A205" s="3"/>
      <c r="B205" s="4"/>
      <c r="C205" s="4"/>
      <c r="D205" s="5"/>
      <c r="E205" s="7"/>
      <c r="F205" s="7"/>
      <c r="G205" s="7"/>
      <c r="H205" s="7"/>
      <c r="I205" s="7"/>
      <c r="J205" s="5"/>
      <c r="K205" s="5"/>
      <c r="L205" s="5"/>
      <c r="M205" s="7"/>
      <c r="N205" s="4"/>
      <c r="O205" s="4"/>
      <c r="P205" s="8" t="str">
        <f aca="true">IF(B205="","",IF(O205&lt;&gt;"",O205-B205,TODAY()-B205))</f>
        <v/>
      </c>
      <c r="Q205" s="9" t="str">
        <f aca="true">IF(OR(N205="",L205="完了"),"",IF(TODAY()&gt;N205,"超過",IF(TODAY()+3&gt;=N205,"間近","")))</f>
        <v/>
      </c>
      <c r="R205" s="5"/>
      <c r="S205" s="10"/>
      <c r="T205" s="7"/>
    </row>
    <row r="206" customFormat="false" ht="15" hidden="false" customHeight="false" outlineLevel="0" collapsed="false">
      <c r="A206" s="3"/>
      <c r="B206" s="4"/>
      <c r="C206" s="4"/>
      <c r="D206" s="5"/>
      <c r="E206" s="7"/>
      <c r="F206" s="7"/>
      <c r="G206" s="7"/>
      <c r="H206" s="7"/>
      <c r="I206" s="7"/>
      <c r="J206" s="5"/>
      <c r="K206" s="5"/>
      <c r="L206" s="5"/>
      <c r="M206" s="7"/>
      <c r="N206" s="4"/>
      <c r="O206" s="4"/>
      <c r="P206" s="8" t="str">
        <f aca="true">IF(B206="","",IF(O206&lt;&gt;"",O206-B206,TODAY()-B206))</f>
        <v/>
      </c>
      <c r="Q206" s="9" t="str">
        <f aca="true">IF(OR(N206="",L206="完了"),"",IF(TODAY()&gt;N206,"超過",IF(TODAY()+3&gt;=N206,"間近","")))</f>
        <v/>
      </c>
      <c r="R206" s="5"/>
      <c r="S206" s="10"/>
      <c r="T206" s="7"/>
    </row>
    <row r="207" customFormat="false" ht="15" hidden="false" customHeight="false" outlineLevel="0" collapsed="false">
      <c r="A207" s="3"/>
      <c r="B207" s="4"/>
      <c r="C207" s="4"/>
      <c r="D207" s="5"/>
      <c r="E207" s="7"/>
      <c r="F207" s="7"/>
      <c r="G207" s="7"/>
      <c r="H207" s="7"/>
      <c r="I207" s="7"/>
      <c r="J207" s="5"/>
      <c r="K207" s="5"/>
      <c r="L207" s="5"/>
      <c r="M207" s="7"/>
      <c r="N207" s="4"/>
      <c r="O207" s="4"/>
      <c r="P207" s="8" t="str">
        <f aca="true">IF(B207="","",IF(O207&lt;&gt;"",O207-B207,TODAY()-B207))</f>
        <v/>
      </c>
      <c r="Q207" s="9" t="str">
        <f aca="true">IF(OR(N207="",L207="完了"),"",IF(TODAY()&gt;N207,"超過",IF(TODAY()+3&gt;=N207,"間近","")))</f>
        <v/>
      </c>
      <c r="R207" s="5"/>
      <c r="S207" s="10"/>
      <c r="T207" s="7"/>
    </row>
    <row r="208" customFormat="false" ht="15" hidden="false" customHeight="false" outlineLevel="0" collapsed="false">
      <c r="A208" s="3"/>
      <c r="B208" s="4"/>
      <c r="C208" s="4"/>
      <c r="D208" s="5"/>
      <c r="E208" s="7"/>
      <c r="F208" s="7"/>
      <c r="G208" s="7"/>
      <c r="H208" s="7"/>
      <c r="I208" s="7"/>
      <c r="J208" s="5"/>
      <c r="K208" s="5"/>
      <c r="L208" s="5"/>
      <c r="M208" s="7"/>
      <c r="N208" s="4"/>
      <c r="O208" s="4"/>
      <c r="P208" s="8" t="str">
        <f aca="true">IF(B208="","",IF(O208&lt;&gt;"",O208-B208,TODAY()-B208))</f>
        <v/>
      </c>
      <c r="Q208" s="9" t="str">
        <f aca="true">IF(OR(N208="",L208="完了"),"",IF(TODAY()&gt;N208,"超過",IF(TODAY()+3&gt;=N208,"間近","")))</f>
        <v/>
      </c>
      <c r="R208" s="5"/>
      <c r="S208" s="10"/>
      <c r="T208" s="7"/>
    </row>
    <row r="209" customFormat="false" ht="15" hidden="false" customHeight="false" outlineLevel="0" collapsed="false">
      <c r="A209" s="3"/>
      <c r="B209" s="4"/>
      <c r="C209" s="4"/>
      <c r="D209" s="5"/>
      <c r="E209" s="7"/>
      <c r="F209" s="7"/>
      <c r="G209" s="7"/>
      <c r="H209" s="7"/>
      <c r="I209" s="7"/>
      <c r="J209" s="5"/>
      <c r="K209" s="5"/>
      <c r="L209" s="5"/>
      <c r="M209" s="7"/>
      <c r="N209" s="4"/>
      <c r="O209" s="4"/>
      <c r="P209" s="8" t="str">
        <f aca="true">IF(B209="","",IF(O209&lt;&gt;"",O209-B209,TODAY()-B209))</f>
        <v/>
      </c>
      <c r="Q209" s="9" t="str">
        <f aca="true">IF(OR(N209="",L209="完了"),"",IF(TODAY()&gt;N209,"超過",IF(TODAY()+3&gt;=N209,"間近","")))</f>
        <v/>
      </c>
      <c r="R209" s="5"/>
      <c r="S209" s="10"/>
      <c r="T209" s="7"/>
    </row>
    <row r="210" customFormat="false" ht="15" hidden="false" customHeight="false" outlineLevel="0" collapsed="false">
      <c r="A210" s="3"/>
      <c r="B210" s="4"/>
      <c r="C210" s="4"/>
      <c r="D210" s="5"/>
      <c r="E210" s="7"/>
      <c r="F210" s="7"/>
      <c r="G210" s="7"/>
      <c r="H210" s="7"/>
      <c r="I210" s="7"/>
      <c r="J210" s="5"/>
      <c r="K210" s="5"/>
      <c r="L210" s="5"/>
      <c r="M210" s="7"/>
      <c r="N210" s="4"/>
      <c r="O210" s="4"/>
      <c r="P210" s="8" t="str">
        <f aca="true">IF(B210="","",IF(O210&lt;&gt;"",O210-B210,TODAY()-B210))</f>
        <v/>
      </c>
      <c r="Q210" s="9" t="str">
        <f aca="true">IF(OR(N210="",L210="完了"),"",IF(TODAY()&gt;N210,"超過",IF(TODAY()+3&gt;=N210,"間近","")))</f>
        <v/>
      </c>
      <c r="R210" s="5"/>
      <c r="S210" s="10"/>
      <c r="T210" s="7"/>
    </row>
    <row r="211" customFormat="false" ht="15" hidden="false" customHeight="false" outlineLevel="0" collapsed="false">
      <c r="A211" s="3"/>
      <c r="B211" s="4"/>
      <c r="C211" s="4"/>
      <c r="D211" s="5"/>
      <c r="E211" s="7"/>
      <c r="F211" s="7"/>
      <c r="G211" s="7"/>
      <c r="H211" s="7"/>
      <c r="I211" s="7"/>
      <c r="J211" s="5"/>
      <c r="K211" s="5"/>
      <c r="L211" s="5"/>
      <c r="M211" s="7"/>
      <c r="N211" s="4"/>
      <c r="O211" s="4"/>
      <c r="P211" s="8" t="str">
        <f aca="true">IF(B211="","",IF(O211&lt;&gt;"",O211-B211,TODAY()-B211))</f>
        <v/>
      </c>
      <c r="Q211" s="9" t="str">
        <f aca="true">IF(OR(N211="",L211="完了"),"",IF(TODAY()&gt;N211,"超過",IF(TODAY()+3&gt;=N211,"間近","")))</f>
        <v/>
      </c>
      <c r="R211" s="5"/>
      <c r="S211" s="10"/>
      <c r="T211" s="7"/>
    </row>
    <row r="212" customFormat="false" ht="15" hidden="false" customHeight="false" outlineLevel="0" collapsed="false">
      <c r="A212" s="3"/>
      <c r="B212" s="4"/>
      <c r="C212" s="4"/>
      <c r="D212" s="5"/>
      <c r="E212" s="7"/>
      <c r="F212" s="7"/>
      <c r="G212" s="7"/>
      <c r="H212" s="7"/>
      <c r="I212" s="7"/>
      <c r="J212" s="5"/>
      <c r="K212" s="5"/>
      <c r="L212" s="5"/>
      <c r="M212" s="7"/>
      <c r="N212" s="4"/>
      <c r="O212" s="4"/>
      <c r="P212" s="8" t="str">
        <f aca="true">IF(B212="","",IF(O212&lt;&gt;"",O212-B212,TODAY()-B212))</f>
        <v/>
      </c>
      <c r="Q212" s="9" t="str">
        <f aca="true">IF(OR(N212="",L212="完了"),"",IF(TODAY()&gt;N212,"超過",IF(TODAY()+3&gt;=N212,"間近","")))</f>
        <v/>
      </c>
      <c r="R212" s="5"/>
      <c r="S212" s="10"/>
      <c r="T212" s="7"/>
    </row>
    <row r="213" customFormat="false" ht="15" hidden="false" customHeight="false" outlineLevel="0" collapsed="false">
      <c r="A213" s="3"/>
      <c r="B213" s="4"/>
      <c r="C213" s="4"/>
      <c r="D213" s="5"/>
      <c r="E213" s="7"/>
      <c r="F213" s="7"/>
      <c r="G213" s="7"/>
      <c r="H213" s="7"/>
      <c r="I213" s="7"/>
      <c r="J213" s="5"/>
      <c r="K213" s="5"/>
      <c r="L213" s="5"/>
      <c r="M213" s="7"/>
      <c r="N213" s="4"/>
      <c r="O213" s="4"/>
      <c r="P213" s="8" t="str">
        <f aca="true">IF(B213="","",IF(O213&lt;&gt;"",O213-B213,TODAY()-B213))</f>
        <v/>
      </c>
      <c r="Q213" s="9" t="str">
        <f aca="true">IF(OR(N213="",L213="完了"),"",IF(TODAY()&gt;N213,"超過",IF(TODAY()+3&gt;=N213,"間近","")))</f>
        <v/>
      </c>
      <c r="R213" s="5"/>
      <c r="S213" s="10"/>
      <c r="T213" s="7"/>
    </row>
    <row r="214" customFormat="false" ht="15" hidden="false" customHeight="false" outlineLevel="0" collapsed="false">
      <c r="A214" s="3"/>
      <c r="B214" s="4"/>
      <c r="C214" s="4"/>
      <c r="D214" s="5"/>
      <c r="E214" s="7"/>
      <c r="F214" s="7"/>
      <c r="G214" s="7"/>
      <c r="H214" s="7"/>
      <c r="I214" s="7"/>
      <c r="J214" s="5"/>
      <c r="K214" s="5"/>
      <c r="L214" s="5"/>
      <c r="M214" s="7"/>
      <c r="N214" s="4"/>
      <c r="O214" s="4"/>
      <c r="P214" s="8" t="str">
        <f aca="true">IF(B214="","",IF(O214&lt;&gt;"",O214-B214,TODAY()-B214))</f>
        <v/>
      </c>
      <c r="Q214" s="9" t="str">
        <f aca="true">IF(OR(N214="",L214="完了"),"",IF(TODAY()&gt;N214,"超過",IF(TODAY()+3&gt;=N214,"間近","")))</f>
        <v/>
      </c>
      <c r="R214" s="5"/>
      <c r="S214" s="10"/>
      <c r="T214" s="7"/>
    </row>
    <row r="215" customFormat="false" ht="15" hidden="false" customHeight="false" outlineLevel="0" collapsed="false">
      <c r="A215" s="3"/>
      <c r="B215" s="4"/>
      <c r="C215" s="4"/>
      <c r="D215" s="5"/>
      <c r="E215" s="7"/>
      <c r="F215" s="7"/>
      <c r="G215" s="7"/>
      <c r="H215" s="7"/>
      <c r="I215" s="7"/>
      <c r="J215" s="5"/>
      <c r="K215" s="5"/>
      <c r="L215" s="5"/>
      <c r="M215" s="7"/>
      <c r="N215" s="4"/>
      <c r="O215" s="4"/>
      <c r="P215" s="8" t="str">
        <f aca="true">IF(B215="","",IF(O215&lt;&gt;"",O215-B215,TODAY()-B215))</f>
        <v/>
      </c>
      <c r="Q215" s="9" t="str">
        <f aca="true">IF(OR(N215="",L215="完了"),"",IF(TODAY()&gt;N215,"超過",IF(TODAY()+3&gt;=N215,"間近","")))</f>
        <v/>
      </c>
      <c r="R215" s="5"/>
      <c r="S215" s="10"/>
      <c r="T215" s="7"/>
    </row>
    <row r="216" customFormat="false" ht="15" hidden="false" customHeight="false" outlineLevel="0" collapsed="false">
      <c r="A216" s="3"/>
      <c r="B216" s="4"/>
      <c r="C216" s="4"/>
      <c r="D216" s="5"/>
      <c r="E216" s="7"/>
      <c r="F216" s="7"/>
      <c r="G216" s="7"/>
      <c r="H216" s="7"/>
      <c r="I216" s="7"/>
      <c r="J216" s="5"/>
      <c r="K216" s="5"/>
      <c r="L216" s="5"/>
      <c r="M216" s="7"/>
      <c r="N216" s="4"/>
      <c r="O216" s="4"/>
      <c r="P216" s="8" t="str">
        <f aca="true">IF(B216="","",IF(O216&lt;&gt;"",O216-B216,TODAY()-B216))</f>
        <v/>
      </c>
      <c r="Q216" s="9" t="str">
        <f aca="true">IF(OR(N216="",L216="完了"),"",IF(TODAY()&gt;N216,"超過",IF(TODAY()+3&gt;=N216,"間近","")))</f>
        <v/>
      </c>
      <c r="R216" s="5"/>
      <c r="S216" s="10"/>
      <c r="T216" s="7"/>
    </row>
    <row r="217" customFormat="false" ht="15" hidden="false" customHeight="false" outlineLevel="0" collapsed="false">
      <c r="A217" s="3"/>
      <c r="B217" s="4"/>
      <c r="C217" s="4"/>
      <c r="D217" s="5"/>
      <c r="E217" s="7"/>
      <c r="F217" s="7"/>
      <c r="G217" s="7"/>
      <c r="H217" s="7"/>
      <c r="I217" s="7"/>
      <c r="J217" s="5"/>
      <c r="K217" s="5"/>
      <c r="L217" s="5"/>
      <c r="M217" s="7"/>
      <c r="N217" s="4"/>
      <c r="O217" s="4"/>
      <c r="P217" s="8" t="str">
        <f aca="true">IF(B217="","",IF(O217&lt;&gt;"",O217-B217,TODAY()-B217))</f>
        <v/>
      </c>
      <c r="Q217" s="9" t="str">
        <f aca="true">IF(OR(N217="",L217="完了"),"",IF(TODAY()&gt;N217,"超過",IF(TODAY()+3&gt;=N217,"間近","")))</f>
        <v/>
      </c>
      <c r="R217" s="5"/>
      <c r="S217" s="10"/>
      <c r="T217" s="7"/>
    </row>
    <row r="218" customFormat="false" ht="15" hidden="false" customHeight="false" outlineLevel="0" collapsed="false">
      <c r="A218" s="3"/>
      <c r="B218" s="4"/>
      <c r="C218" s="4"/>
      <c r="D218" s="5"/>
      <c r="E218" s="7"/>
      <c r="F218" s="7"/>
      <c r="G218" s="7"/>
      <c r="H218" s="7"/>
      <c r="I218" s="7"/>
      <c r="J218" s="5"/>
      <c r="K218" s="5"/>
      <c r="L218" s="5"/>
      <c r="M218" s="7"/>
      <c r="N218" s="4"/>
      <c r="O218" s="4"/>
      <c r="P218" s="8" t="str">
        <f aca="true">IF(B218="","",IF(O218&lt;&gt;"",O218-B218,TODAY()-B218))</f>
        <v/>
      </c>
      <c r="Q218" s="9" t="str">
        <f aca="true">IF(OR(N218="",L218="完了"),"",IF(TODAY()&gt;N218,"超過",IF(TODAY()+3&gt;=N218,"間近","")))</f>
        <v/>
      </c>
      <c r="R218" s="5"/>
      <c r="S218" s="10"/>
      <c r="T218" s="7"/>
    </row>
    <row r="219" customFormat="false" ht="15" hidden="false" customHeight="false" outlineLevel="0" collapsed="false">
      <c r="A219" s="3"/>
      <c r="B219" s="4"/>
      <c r="C219" s="4"/>
      <c r="D219" s="5"/>
      <c r="E219" s="7"/>
      <c r="F219" s="7"/>
      <c r="G219" s="7"/>
      <c r="H219" s="7"/>
      <c r="I219" s="7"/>
      <c r="J219" s="5"/>
      <c r="K219" s="5"/>
      <c r="L219" s="5"/>
      <c r="M219" s="7"/>
      <c r="N219" s="4"/>
      <c r="O219" s="4"/>
      <c r="P219" s="8" t="str">
        <f aca="true">IF(B219="","",IF(O219&lt;&gt;"",O219-B219,TODAY()-B219))</f>
        <v/>
      </c>
      <c r="Q219" s="9" t="str">
        <f aca="true">IF(OR(N219="",L219="完了"),"",IF(TODAY()&gt;N219,"超過",IF(TODAY()+3&gt;=N219,"間近","")))</f>
        <v/>
      </c>
      <c r="R219" s="5"/>
      <c r="S219" s="10"/>
      <c r="T219" s="7"/>
    </row>
    <row r="220" customFormat="false" ht="15" hidden="false" customHeight="false" outlineLevel="0" collapsed="false">
      <c r="A220" s="3"/>
      <c r="B220" s="4"/>
      <c r="C220" s="4"/>
      <c r="D220" s="5"/>
      <c r="E220" s="7"/>
      <c r="F220" s="7"/>
      <c r="G220" s="7"/>
      <c r="H220" s="7"/>
      <c r="I220" s="7"/>
      <c r="J220" s="5"/>
      <c r="K220" s="5"/>
      <c r="L220" s="5"/>
      <c r="M220" s="7"/>
      <c r="N220" s="4"/>
      <c r="O220" s="4"/>
      <c r="P220" s="8" t="str">
        <f aca="true">IF(B220="","",IF(O220&lt;&gt;"",O220-B220,TODAY()-B220))</f>
        <v/>
      </c>
      <c r="Q220" s="9" t="str">
        <f aca="true">IF(OR(N220="",L220="完了"),"",IF(TODAY()&gt;N220,"超過",IF(TODAY()+3&gt;=N220,"間近","")))</f>
        <v/>
      </c>
      <c r="R220" s="5"/>
      <c r="S220" s="10"/>
      <c r="T220" s="7"/>
    </row>
    <row r="221" customFormat="false" ht="15" hidden="false" customHeight="false" outlineLevel="0" collapsed="false">
      <c r="A221" s="3"/>
      <c r="B221" s="4"/>
      <c r="C221" s="4"/>
      <c r="D221" s="5"/>
      <c r="E221" s="7"/>
      <c r="F221" s="7"/>
      <c r="G221" s="7"/>
      <c r="H221" s="7"/>
      <c r="I221" s="7"/>
      <c r="J221" s="5"/>
      <c r="K221" s="5"/>
      <c r="L221" s="5"/>
      <c r="M221" s="7"/>
      <c r="N221" s="4"/>
      <c r="O221" s="4"/>
      <c r="P221" s="8" t="str">
        <f aca="true">IF(B221="","",IF(O221&lt;&gt;"",O221-B221,TODAY()-B221))</f>
        <v/>
      </c>
      <c r="Q221" s="9" t="str">
        <f aca="true">IF(OR(N221="",L221="完了"),"",IF(TODAY()&gt;N221,"超過",IF(TODAY()+3&gt;=N221,"間近","")))</f>
        <v/>
      </c>
      <c r="R221" s="5"/>
      <c r="S221" s="10"/>
      <c r="T221" s="7"/>
    </row>
    <row r="222" customFormat="false" ht="15" hidden="false" customHeight="false" outlineLevel="0" collapsed="false">
      <c r="A222" s="3"/>
      <c r="B222" s="4"/>
      <c r="C222" s="4"/>
      <c r="D222" s="5"/>
      <c r="E222" s="7"/>
      <c r="F222" s="7"/>
      <c r="G222" s="7"/>
      <c r="H222" s="7"/>
      <c r="I222" s="7"/>
      <c r="J222" s="5"/>
      <c r="K222" s="5"/>
      <c r="L222" s="5"/>
      <c r="M222" s="7"/>
      <c r="N222" s="4"/>
      <c r="O222" s="4"/>
      <c r="P222" s="8" t="str">
        <f aca="true">IF(B222="","",IF(O222&lt;&gt;"",O222-B222,TODAY()-B222))</f>
        <v/>
      </c>
      <c r="Q222" s="9" t="str">
        <f aca="true">IF(OR(N222="",L222="完了"),"",IF(TODAY()&gt;N222,"超過",IF(TODAY()+3&gt;=N222,"間近","")))</f>
        <v/>
      </c>
      <c r="R222" s="5"/>
      <c r="S222" s="10"/>
      <c r="T222" s="7"/>
    </row>
    <row r="223" customFormat="false" ht="15" hidden="false" customHeight="false" outlineLevel="0" collapsed="false">
      <c r="A223" s="3"/>
      <c r="B223" s="4"/>
      <c r="C223" s="4"/>
      <c r="D223" s="5"/>
      <c r="E223" s="7"/>
      <c r="F223" s="7"/>
      <c r="G223" s="7"/>
      <c r="H223" s="7"/>
      <c r="I223" s="7"/>
      <c r="J223" s="5"/>
      <c r="K223" s="5"/>
      <c r="L223" s="5"/>
      <c r="M223" s="7"/>
      <c r="N223" s="4"/>
      <c r="O223" s="4"/>
      <c r="P223" s="8" t="str">
        <f aca="true">IF(B223="","",IF(O223&lt;&gt;"",O223-B223,TODAY()-B223))</f>
        <v/>
      </c>
      <c r="Q223" s="9" t="str">
        <f aca="true">IF(OR(N223="",L223="完了"),"",IF(TODAY()&gt;N223,"超過",IF(TODAY()+3&gt;=N223,"間近","")))</f>
        <v/>
      </c>
      <c r="R223" s="5"/>
      <c r="S223" s="10"/>
      <c r="T223" s="7"/>
    </row>
    <row r="224" customFormat="false" ht="15" hidden="false" customHeight="false" outlineLevel="0" collapsed="false">
      <c r="A224" s="3"/>
      <c r="B224" s="4"/>
      <c r="C224" s="4"/>
      <c r="D224" s="5"/>
      <c r="E224" s="7"/>
      <c r="F224" s="7"/>
      <c r="G224" s="7"/>
      <c r="H224" s="7"/>
      <c r="I224" s="7"/>
      <c r="J224" s="5"/>
      <c r="K224" s="5"/>
      <c r="L224" s="5"/>
      <c r="M224" s="7"/>
      <c r="N224" s="4"/>
      <c r="O224" s="4"/>
      <c r="P224" s="8" t="str">
        <f aca="true">IF(B224="","",IF(O224&lt;&gt;"",O224-B224,TODAY()-B224))</f>
        <v/>
      </c>
      <c r="Q224" s="9" t="str">
        <f aca="true">IF(OR(N224="",L224="完了"),"",IF(TODAY()&gt;N224,"超過",IF(TODAY()+3&gt;=N224,"間近","")))</f>
        <v/>
      </c>
      <c r="R224" s="5"/>
      <c r="S224" s="10"/>
      <c r="T224" s="7"/>
    </row>
    <row r="225" customFormat="false" ht="15" hidden="false" customHeight="false" outlineLevel="0" collapsed="false">
      <c r="A225" s="3"/>
      <c r="B225" s="4"/>
      <c r="C225" s="4"/>
      <c r="D225" s="5"/>
      <c r="E225" s="7"/>
      <c r="F225" s="7"/>
      <c r="G225" s="7"/>
      <c r="H225" s="7"/>
      <c r="I225" s="7"/>
      <c r="J225" s="5"/>
      <c r="K225" s="5"/>
      <c r="L225" s="5"/>
      <c r="M225" s="7"/>
      <c r="N225" s="4"/>
      <c r="O225" s="4"/>
      <c r="P225" s="8" t="str">
        <f aca="true">IF(B225="","",IF(O225&lt;&gt;"",O225-B225,TODAY()-B225))</f>
        <v/>
      </c>
      <c r="Q225" s="9" t="str">
        <f aca="true">IF(OR(N225="",L225="完了"),"",IF(TODAY()&gt;N225,"超過",IF(TODAY()+3&gt;=N225,"間近","")))</f>
        <v/>
      </c>
      <c r="R225" s="5"/>
      <c r="S225" s="10"/>
      <c r="T225" s="7"/>
    </row>
    <row r="226" customFormat="false" ht="15" hidden="false" customHeight="false" outlineLevel="0" collapsed="false">
      <c r="A226" s="3"/>
      <c r="B226" s="4"/>
      <c r="C226" s="4"/>
      <c r="D226" s="5"/>
      <c r="E226" s="7"/>
      <c r="F226" s="7"/>
      <c r="G226" s="7"/>
      <c r="H226" s="7"/>
      <c r="I226" s="7"/>
      <c r="J226" s="5"/>
      <c r="K226" s="5"/>
      <c r="L226" s="5"/>
      <c r="M226" s="7"/>
      <c r="N226" s="4"/>
      <c r="O226" s="4"/>
      <c r="P226" s="8" t="str">
        <f aca="true">IF(B226="","",IF(O226&lt;&gt;"",O226-B226,TODAY()-B226))</f>
        <v/>
      </c>
      <c r="Q226" s="9" t="str">
        <f aca="true">IF(OR(N226="",L226="完了"),"",IF(TODAY()&gt;N226,"超過",IF(TODAY()+3&gt;=N226,"間近","")))</f>
        <v/>
      </c>
      <c r="R226" s="5"/>
      <c r="S226" s="10"/>
      <c r="T226" s="7"/>
    </row>
    <row r="227" customFormat="false" ht="15" hidden="false" customHeight="false" outlineLevel="0" collapsed="false">
      <c r="A227" s="3"/>
      <c r="B227" s="4"/>
      <c r="C227" s="4"/>
      <c r="D227" s="5"/>
      <c r="E227" s="7"/>
      <c r="F227" s="7"/>
      <c r="G227" s="7"/>
      <c r="H227" s="7"/>
      <c r="I227" s="7"/>
      <c r="J227" s="5"/>
      <c r="K227" s="5"/>
      <c r="L227" s="5"/>
      <c r="M227" s="7"/>
      <c r="N227" s="4"/>
      <c r="O227" s="4"/>
      <c r="P227" s="8" t="str">
        <f aca="true">IF(B227="","",IF(O227&lt;&gt;"",O227-B227,TODAY()-B227))</f>
        <v/>
      </c>
      <c r="Q227" s="9" t="str">
        <f aca="true">IF(OR(N227="",L227="完了"),"",IF(TODAY()&gt;N227,"超過",IF(TODAY()+3&gt;=N227,"間近","")))</f>
        <v/>
      </c>
      <c r="R227" s="5"/>
      <c r="S227" s="10"/>
      <c r="T227" s="7"/>
    </row>
    <row r="228" customFormat="false" ht="15" hidden="false" customHeight="false" outlineLevel="0" collapsed="false">
      <c r="A228" s="3"/>
      <c r="B228" s="4"/>
      <c r="C228" s="4"/>
      <c r="D228" s="5"/>
      <c r="E228" s="7"/>
      <c r="F228" s="7"/>
      <c r="G228" s="7"/>
      <c r="H228" s="7"/>
      <c r="I228" s="7"/>
      <c r="J228" s="5"/>
      <c r="K228" s="5"/>
      <c r="L228" s="5"/>
      <c r="M228" s="7"/>
      <c r="N228" s="4"/>
      <c r="O228" s="4"/>
      <c r="P228" s="8" t="str">
        <f aca="true">IF(B228="","",IF(O228&lt;&gt;"",O228-B228,TODAY()-B228))</f>
        <v/>
      </c>
      <c r="Q228" s="9" t="str">
        <f aca="true">IF(OR(N228="",L228="完了"),"",IF(TODAY()&gt;N228,"超過",IF(TODAY()+3&gt;=N228,"間近","")))</f>
        <v/>
      </c>
      <c r="R228" s="5"/>
      <c r="S228" s="10"/>
      <c r="T228" s="7"/>
    </row>
    <row r="229" customFormat="false" ht="15" hidden="false" customHeight="false" outlineLevel="0" collapsed="false">
      <c r="A229" s="3"/>
      <c r="B229" s="4"/>
      <c r="C229" s="4"/>
      <c r="D229" s="5"/>
      <c r="E229" s="7"/>
      <c r="F229" s="7"/>
      <c r="G229" s="7"/>
      <c r="H229" s="7"/>
      <c r="I229" s="7"/>
      <c r="J229" s="5"/>
      <c r="K229" s="5"/>
      <c r="L229" s="5"/>
      <c r="M229" s="7"/>
      <c r="N229" s="4"/>
      <c r="O229" s="4"/>
      <c r="P229" s="8" t="str">
        <f aca="true">IF(B229="","",IF(O229&lt;&gt;"",O229-B229,TODAY()-B229))</f>
        <v/>
      </c>
      <c r="Q229" s="9" t="str">
        <f aca="true">IF(OR(N229="",L229="完了"),"",IF(TODAY()&gt;N229,"超過",IF(TODAY()+3&gt;=N229,"間近","")))</f>
        <v/>
      </c>
      <c r="R229" s="5"/>
      <c r="S229" s="10"/>
      <c r="T229" s="7"/>
    </row>
    <row r="230" customFormat="false" ht="15" hidden="false" customHeight="false" outlineLevel="0" collapsed="false">
      <c r="A230" s="3"/>
      <c r="B230" s="4"/>
      <c r="C230" s="4"/>
      <c r="D230" s="5"/>
      <c r="E230" s="7"/>
      <c r="F230" s="7"/>
      <c r="G230" s="7"/>
      <c r="H230" s="7"/>
      <c r="I230" s="7"/>
      <c r="J230" s="5"/>
      <c r="K230" s="5"/>
      <c r="L230" s="5"/>
      <c r="M230" s="7"/>
      <c r="N230" s="4"/>
      <c r="O230" s="4"/>
      <c r="P230" s="8" t="str">
        <f aca="true">IF(B230="","",IF(O230&lt;&gt;"",O230-B230,TODAY()-B230))</f>
        <v/>
      </c>
      <c r="Q230" s="9" t="str">
        <f aca="true">IF(OR(N230="",L230="完了"),"",IF(TODAY()&gt;N230,"超過",IF(TODAY()+3&gt;=N230,"間近","")))</f>
        <v/>
      </c>
      <c r="R230" s="5"/>
      <c r="S230" s="10"/>
      <c r="T230" s="7"/>
    </row>
    <row r="231" customFormat="false" ht="15" hidden="false" customHeight="false" outlineLevel="0" collapsed="false">
      <c r="A231" s="3"/>
      <c r="B231" s="4"/>
      <c r="C231" s="4"/>
      <c r="D231" s="5"/>
      <c r="E231" s="7"/>
      <c r="F231" s="7"/>
      <c r="G231" s="7"/>
      <c r="H231" s="7"/>
      <c r="I231" s="7"/>
      <c r="J231" s="5"/>
      <c r="K231" s="5"/>
      <c r="L231" s="5"/>
      <c r="M231" s="7"/>
      <c r="N231" s="4"/>
      <c r="O231" s="4"/>
      <c r="P231" s="8" t="str">
        <f aca="true">IF(B231="","",IF(O231&lt;&gt;"",O231-B231,TODAY()-B231))</f>
        <v/>
      </c>
      <c r="Q231" s="9" t="str">
        <f aca="true">IF(OR(N231="",L231="完了"),"",IF(TODAY()&gt;N231,"超過",IF(TODAY()+3&gt;=N231,"間近","")))</f>
        <v/>
      </c>
      <c r="R231" s="5"/>
      <c r="S231" s="10"/>
      <c r="T231" s="7"/>
    </row>
    <row r="232" customFormat="false" ht="15" hidden="false" customHeight="false" outlineLevel="0" collapsed="false">
      <c r="A232" s="3"/>
      <c r="B232" s="4"/>
      <c r="C232" s="4"/>
      <c r="D232" s="5"/>
      <c r="E232" s="7"/>
      <c r="F232" s="7"/>
      <c r="G232" s="7"/>
      <c r="H232" s="7"/>
      <c r="I232" s="7"/>
      <c r="J232" s="5"/>
      <c r="K232" s="5"/>
      <c r="L232" s="5"/>
      <c r="M232" s="7"/>
      <c r="N232" s="4"/>
      <c r="O232" s="4"/>
      <c r="P232" s="8" t="str">
        <f aca="true">IF(B232="","",IF(O232&lt;&gt;"",O232-B232,TODAY()-B232))</f>
        <v/>
      </c>
      <c r="Q232" s="9" t="str">
        <f aca="true">IF(OR(N232="",L232="完了"),"",IF(TODAY()&gt;N232,"超過",IF(TODAY()+3&gt;=N232,"間近","")))</f>
        <v/>
      </c>
      <c r="R232" s="5"/>
      <c r="S232" s="10"/>
      <c r="T232" s="7"/>
    </row>
    <row r="233" customFormat="false" ht="15" hidden="false" customHeight="false" outlineLevel="0" collapsed="false">
      <c r="A233" s="3"/>
      <c r="B233" s="4"/>
      <c r="C233" s="4"/>
      <c r="D233" s="5"/>
      <c r="E233" s="7"/>
      <c r="F233" s="7"/>
      <c r="G233" s="7"/>
      <c r="H233" s="7"/>
      <c r="I233" s="7"/>
      <c r="J233" s="5"/>
      <c r="K233" s="5"/>
      <c r="L233" s="5"/>
      <c r="M233" s="7"/>
      <c r="N233" s="4"/>
      <c r="O233" s="4"/>
      <c r="P233" s="8" t="str">
        <f aca="true">IF(B233="","",IF(O233&lt;&gt;"",O233-B233,TODAY()-B233))</f>
        <v/>
      </c>
      <c r="Q233" s="9" t="str">
        <f aca="true">IF(OR(N233="",L233="完了"),"",IF(TODAY()&gt;N233,"超過",IF(TODAY()+3&gt;=N233,"間近","")))</f>
        <v/>
      </c>
      <c r="R233" s="5"/>
      <c r="S233" s="10"/>
      <c r="T233" s="7"/>
    </row>
    <row r="234" customFormat="false" ht="15" hidden="false" customHeight="false" outlineLevel="0" collapsed="false">
      <c r="A234" s="3"/>
      <c r="B234" s="4"/>
      <c r="C234" s="4"/>
      <c r="D234" s="5"/>
      <c r="E234" s="7"/>
      <c r="F234" s="7"/>
      <c r="G234" s="7"/>
      <c r="H234" s="7"/>
      <c r="I234" s="7"/>
      <c r="J234" s="5"/>
      <c r="K234" s="5"/>
      <c r="L234" s="5"/>
      <c r="M234" s="7"/>
      <c r="N234" s="4"/>
      <c r="O234" s="4"/>
      <c r="P234" s="8" t="str">
        <f aca="true">IF(B234="","",IF(O234&lt;&gt;"",O234-B234,TODAY()-B234))</f>
        <v/>
      </c>
      <c r="Q234" s="9" t="str">
        <f aca="true">IF(OR(N234="",L234="完了"),"",IF(TODAY()&gt;N234,"超過",IF(TODAY()+3&gt;=N234,"間近","")))</f>
        <v/>
      </c>
      <c r="R234" s="5"/>
      <c r="S234" s="10"/>
      <c r="T234" s="7"/>
    </row>
    <row r="235" customFormat="false" ht="15" hidden="false" customHeight="false" outlineLevel="0" collapsed="false">
      <c r="A235" s="3"/>
      <c r="B235" s="4"/>
      <c r="C235" s="4"/>
      <c r="D235" s="5"/>
      <c r="E235" s="7"/>
      <c r="F235" s="7"/>
      <c r="G235" s="7"/>
      <c r="H235" s="7"/>
      <c r="I235" s="7"/>
      <c r="J235" s="5"/>
      <c r="K235" s="5"/>
      <c r="L235" s="5"/>
      <c r="M235" s="7"/>
      <c r="N235" s="4"/>
      <c r="O235" s="4"/>
      <c r="P235" s="8" t="str">
        <f aca="true">IF(B235="","",IF(O235&lt;&gt;"",O235-B235,TODAY()-B235))</f>
        <v/>
      </c>
      <c r="Q235" s="9" t="str">
        <f aca="true">IF(OR(N235="",L235="完了"),"",IF(TODAY()&gt;N235,"超過",IF(TODAY()+3&gt;=N235,"間近","")))</f>
        <v/>
      </c>
      <c r="R235" s="5"/>
      <c r="S235" s="10"/>
      <c r="T235" s="7"/>
    </row>
    <row r="236" customFormat="false" ht="15" hidden="false" customHeight="false" outlineLevel="0" collapsed="false">
      <c r="A236" s="3"/>
      <c r="B236" s="4"/>
      <c r="C236" s="4"/>
      <c r="D236" s="5"/>
      <c r="E236" s="7"/>
      <c r="F236" s="7"/>
      <c r="G236" s="7"/>
      <c r="H236" s="7"/>
      <c r="I236" s="7"/>
      <c r="J236" s="5"/>
      <c r="K236" s="5"/>
      <c r="L236" s="5"/>
      <c r="M236" s="7"/>
      <c r="N236" s="4"/>
      <c r="O236" s="4"/>
      <c r="P236" s="8" t="str">
        <f aca="true">IF(B236="","",IF(O236&lt;&gt;"",O236-B236,TODAY()-B236))</f>
        <v/>
      </c>
      <c r="Q236" s="9" t="str">
        <f aca="true">IF(OR(N236="",L236="完了"),"",IF(TODAY()&gt;N236,"超過",IF(TODAY()+3&gt;=N236,"間近","")))</f>
        <v/>
      </c>
      <c r="R236" s="5"/>
      <c r="S236" s="10"/>
      <c r="T236" s="7"/>
    </row>
    <row r="237" customFormat="false" ht="15" hidden="false" customHeight="false" outlineLevel="0" collapsed="false">
      <c r="A237" s="3"/>
      <c r="B237" s="4"/>
      <c r="C237" s="4"/>
      <c r="D237" s="5"/>
      <c r="E237" s="7"/>
      <c r="F237" s="7"/>
      <c r="G237" s="7"/>
      <c r="H237" s="7"/>
      <c r="I237" s="7"/>
      <c r="J237" s="5"/>
      <c r="K237" s="5"/>
      <c r="L237" s="5"/>
      <c r="M237" s="7"/>
      <c r="N237" s="4"/>
      <c r="O237" s="4"/>
      <c r="P237" s="8" t="str">
        <f aca="true">IF(B237="","",IF(O237&lt;&gt;"",O237-B237,TODAY()-B237))</f>
        <v/>
      </c>
      <c r="Q237" s="9" t="str">
        <f aca="true">IF(OR(N237="",L237="完了"),"",IF(TODAY()&gt;N237,"超過",IF(TODAY()+3&gt;=N237,"間近","")))</f>
        <v/>
      </c>
      <c r="R237" s="5"/>
      <c r="S237" s="10"/>
      <c r="T237" s="7"/>
    </row>
    <row r="238" customFormat="false" ht="15" hidden="false" customHeight="false" outlineLevel="0" collapsed="false">
      <c r="A238" s="3"/>
      <c r="B238" s="4"/>
      <c r="C238" s="4"/>
      <c r="D238" s="5"/>
      <c r="E238" s="7"/>
      <c r="F238" s="7"/>
      <c r="G238" s="7"/>
      <c r="H238" s="7"/>
      <c r="I238" s="7"/>
      <c r="J238" s="5"/>
      <c r="K238" s="5"/>
      <c r="L238" s="5"/>
      <c r="M238" s="7"/>
      <c r="N238" s="4"/>
      <c r="O238" s="4"/>
      <c r="P238" s="8" t="str">
        <f aca="true">IF(B238="","",IF(O238&lt;&gt;"",O238-B238,TODAY()-B238))</f>
        <v/>
      </c>
      <c r="Q238" s="9" t="str">
        <f aca="true">IF(OR(N238="",L238="完了"),"",IF(TODAY()&gt;N238,"超過",IF(TODAY()+3&gt;=N238,"間近","")))</f>
        <v/>
      </c>
      <c r="R238" s="5"/>
      <c r="S238" s="10"/>
      <c r="T238" s="7"/>
    </row>
    <row r="239" customFormat="false" ht="15" hidden="false" customHeight="false" outlineLevel="0" collapsed="false">
      <c r="A239" s="3"/>
      <c r="B239" s="4"/>
      <c r="C239" s="4"/>
      <c r="D239" s="5"/>
      <c r="E239" s="7"/>
      <c r="F239" s="7"/>
      <c r="G239" s="7"/>
      <c r="H239" s="7"/>
      <c r="I239" s="7"/>
      <c r="J239" s="5"/>
      <c r="K239" s="5"/>
      <c r="L239" s="5"/>
      <c r="M239" s="7"/>
      <c r="N239" s="4"/>
      <c r="O239" s="4"/>
      <c r="P239" s="8" t="str">
        <f aca="true">IF(B239="","",IF(O239&lt;&gt;"",O239-B239,TODAY()-B239))</f>
        <v/>
      </c>
      <c r="Q239" s="9" t="str">
        <f aca="true">IF(OR(N239="",L239="完了"),"",IF(TODAY()&gt;N239,"超過",IF(TODAY()+3&gt;=N239,"間近","")))</f>
        <v/>
      </c>
      <c r="R239" s="5"/>
      <c r="S239" s="10"/>
      <c r="T239" s="7"/>
    </row>
    <row r="240" customFormat="false" ht="15" hidden="false" customHeight="false" outlineLevel="0" collapsed="false">
      <c r="A240" s="3"/>
      <c r="B240" s="4"/>
      <c r="C240" s="4"/>
      <c r="D240" s="5"/>
      <c r="E240" s="7"/>
      <c r="F240" s="7"/>
      <c r="G240" s="7"/>
      <c r="H240" s="7"/>
      <c r="I240" s="7"/>
      <c r="J240" s="5"/>
      <c r="K240" s="5"/>
      <c r="L240" s="5"/>
      <c r="M240" s="7"/>
      <c r="N240" s="4"/>
      <c r="O240" s="4"/>
      <c r="P240" s="8" t="str">
        <f aca="true">IF(B240="","",IF(O240&lt;&gt;"",O240-B240,TODAY()-B240))</f>
        <v/>
      </c>
      <c r="Q240" s="9" t="str">
        <f aca="true">IF(OR(N240="",L240="完了"),"",IF(TODAY()&gt;N240,"超過",IF(TODAY()+3&gt;=N240,"間近","")))</f>
        <v/>
      </c>
      <c r="R240" s="5"/>
      <c r="S240" s="10"/>
      <c r="T240" s="7"/>
    </row>
    <row r="241" customFormat="false" ht="15" hidden="false" customHeight="false" outlineLevel="0" collapsed="false">
      <c r="A241" s="3"/>
      <c r="B241" s="4"/>
      <c r="C241" s="4"/>
      <c r="D241" s="5"/>
      <c r="E241" s="7"/>
      <c r="F241" s="7"/>
      <c r="G241" s="7"/>
      <c r="H241" s="7"/>
      <c r="I241" s="7"/>
      <c r="J241" s="5"/>
      <c r="K241" s="5"/>
      <c r="L241" s="5"/>
      <c r="M241" s="7"/>
      <c r="N241" s="4"/>
      <c r="O241" s="4"/>
      <c r="P241" s="8" t="str">
        <f aca="true">IF(B241="","",IF(O241&lt;&gt;"",O241-B241,TODAY()-B241))</f>
        <v/>
      </c>
      <c r="Q241" s="9" t="str">
        <f aca="true">IF(OR(N241="",L241="完了"),"",IF(TODAY()&gt;N241,"超過",IF(TODAY()+3&gt;=N241,"間近","")))</f>
        <v/>
      </c>
      <c r="R241" s="5"/>
      <c r="S241" s="10"/>
      <c r="T241" s="7"/>
    </row>
    <row r="242" customFormat="false" ht="15" hidden="false" customHeight="false" outlineLevel="0" collapsed="false">
      <c r="A242" s="3"/>
      <c r="B242" s="4"/>
      <c r="C242" s="4"/>
      <c r="D242" s="5"/>
      <c r="E242" s="7"/>
      <c r="F242" s="7"/>
      <c r="G242" s="7"/>
      <c r="H242" s="7"/>
      <c r="I242" s="7"/>
      <c r="J242" s="5"/>
      <c r="K242" s="5"/>
      <c r="L242" s="5"/>
      <c r="M242" s="7"/>
      <c r="N242" s="4"/>
      <c r="O242" s="4"/>
      <c r="P242" s="8" t="str">
        <f aca="true">IF(B242="","",IF(O242&lt;&gt;"",O242-B242,TODAY()-B242))</f>
        <v/>
      </c>
      <c r="Q242" s="9" t="str">
        <f aca="true">IF(OR(N242="",L242="完了"),"",IF(TODAY()&gt;N242,"超過",IF(TODAY()+3&gt;=N242,"間近","")))</f>
        <v/>
      </c>
      <c r="R242" s="5"/>
      <c r="S242" s="10"/>
      <c r="T242" s="7"/>
    </row>
    <row r="243" customFormat="false" ht="15" hidden="false" customHeight="false" outlineLevel="0" collapsed="false">
      <c r="A243" s="3"/>
      <c r="B243" s="4"/>
      <c r="C243" s="4"/>
      <c r="D243" s="5"/>
      <c r="E243" s="7"/>
      <c r="F243" s="7"/>
      <c r="G243" s="7"/>
      <c r="H243" s="7"/>
      <c r="I243" s="7"/>
      <c r="J243" s="5"/>
      <c r="K243" s="5"/>
      <c r="L243" s="5"/>
      <c r="M243" s="7"/>
      <c r="N243" s="4"/>
      <c r="O243" s="4"/>
      <c r="P243" s="8" t="str">
        <f aca="true">IF(B243="","",IF(O243&lt;&gt;"",O243-B243,TODAY()-B243))</f>
        <v/>
      </c>
      <c r="Q243" s="9" t="str">
        <f aca="true">IF(OR(N243="",L243="完了"),"",IF(TODAY()&gt;N243,"超過",IF(TODAY()+3&gt;=N243,"間近","")))</f>
        <v/>
      </c>
      <c r="R243" s="5"/>
      <c r="S243" s="10"/>
      <c r="T243" s="7"/>
    </row>
    <row r="244" customFormat="false" ht="15" hidden="false" customHeight="false" outlineLevel="0" collapsed="false">
      <c r="A244" s="3"/>
      <c r="B244" s="4"/>
      <c r="C244" s="4"/>
      <c r="D244" s="5"/>
      <c r="E244" s="7"/>
      <c r="F244" s="7"/>
      <c r="G244" s="7"/>
      <c r="H244" s="7"/>
      <c r="I244" s="7"/>
      <c r="J244" s="5"/>
      <c r="K244" s="5"/>
      <c r="L244" s="5"/>
      <c r="M244" s="7"/>
      <c r="N244" s="4"/>
      <c r="O244" s="4"/>
      <c r="P244" s="8" t="str">
        <f aca="true">IF(B244="","",IF(O244&lt;&gt;"",O244-B244,TODAY()-B244))</f>
        <v/>
      </c>
      <c r="Q244" s="9" t="str">
        <f aca="true">IF(OR(N244="",L244="完了"),"",IF(TODAY()&gt;N244,"超過",IF(TODAY()+3&gt;=N244,"間近","")))</f>
        <v/>
      </c>
      <c r="R244" s="5"/>
      <c r="S244" s="10"/>
      <c r="T244" s="7"/>
    </row>
    <row r="245" customFormat="false" ht="15" hidden="false" customHeight="false" outlineLevel="0" collapsed="false">
      <c r="A245" s="3"/>
      <c r="B245" s="4"/>
      <c r="C245" s="4"/>
      <c r="D245" s="5"/>
      <c r="E245" s="7"/>
      <c r="F245" s="7"/>
      <c r="G245" s="7"/>
      <c r="H245" s="7"/>
      <c r="I245" s="7"/>
      <c r="J245" s="5"/>
      <c r="K245" s="5"/>
      <c r="L245" s="5"/>
      <c r="M245" s="7"/>
      <c r="N245" s="4"/>
      <c r="O245" s="4"/>
      <c r="P245" s="8" t="str">
        <f aca="true">IF(B245="","",IF(O245&lt;&gt;"",O245-B245,TODAY()-B245))</f>
        <v/>
      </c>
      <c r="Q245" s="9" t="str">
        <f aca="true">IF(OR(N245="",L245="完了"),"",IF(TODAY()&gt;N245,"超過",IF(TODAY()+3&gt;=N245,"間近","")))</f>
        <v/>
      </c>
      <c r="R245" s="5"/>
      <c r="S245" s="10"/>
      <c r="T245" s="7"/>
    </row>
    <row r="246" customFormat="false" ht="15" hidden="false" customHeight="false" outlineLevel="0" collapsed="false">
      <c r="A246" s="3"/>
      <c r="B246" s="4"/>
      <c r="C246" s="4"/>
      <c r="D246" s="5"/>
      <c r="E246" s="7"/>
      <c r="F246" s="7"/>
      <c r="G246" s="7"/>
      <c r="H246" s="7"/>
      <c r="I246" s="7"/>
      <c r="J246" s="5"/>
      <c r="K246" s="5"/>
      <c r="L246" s="5"/>
      <c r="M246" s="7"/>
      <c r="N246" s="4"/>
      <c r="O246" s="4"/>
      <c r="P246" s="8" t="str">
        <f aca="true">IF(B246="","",IF(O246&lt;&gt;"",O246-B246,TODAY()-B246))</f>
        <v/>
      </c>
      <c r="Q246" s="9" t="str">
        <f aca="true">IF(OR(N246="",L246="完了"),"",IF(TODAY()&gt;N246,"超過",IF(TODAY()+3&gt;=N246,"間近","")))</f>
        <v/>
      </c>
      <c r="R246" s="5"/>
      <c r="S246" s="10"/>
      <c r="T246" s="7"/>
    </row>
    <row r="247" customFormat="false" ht="15" hidden="false" customHeight="false" outlineLevel="0" collapsed="false">
      <c r="A247" s="3"/>
      <c r="B247" s="4"/>
      <c r="C247" s="4"/>
      <c r="D247" s="5"/>
      <c r="E247" s="7"/>
      <c r="F247" s="7"/>
      <c r="G247" s="7"/>
      <c r="H247" s="7"/>
      <c r="I247" s="7"/>
      <c r="J247" s="5"/>
      <c r="K247" s="5"/>
      <c r="L247" s="5"/>
      <c r="M247" s="7"/>
      <c r="N247" s="4"/>
      <c r="O247" s="4"/>
      <c r="P247" s="8" t="str">
        <f aca="true">IF(B247="","",IF(O247&lt;&gt;"",O247-B247,TODAY()-B247))</f>
        <v/>
      </c>
      <c r="Q247" s="9" t="str">
        <f aca="true">IF(OR(N247="",L247="完了"),"",IF(TODAY()&gt;N247,"超過",IF(TODAY()+3&gt;=N247,"間近","")))</f>
        <v/>
      </c>
      <c r="R247" s="5"/>
      <c r="S247" s="10"/>
      <c r="T247" s="7"/>
    </row>
    <row r="248" customFormat="false" ht="15" hidden="false" customHeight="false" outlineLevel="0" collapsed="false">
      <c r="A248" s="3"/>
      <c r="B248" s="4"/>
      <c r="C248" s="4"/>
      <c r="D248" s="5"/>
      <c r="E248" s="7"/>
      <c r="F248" s="7"/>
      <c r="G248" s="7"/>
      <c r="H248" s="7"/>
      <c r="I248" s="7"/>
      <c r="J248" s="5"/>
      <c r="K248" s="5"/>
      <c r="L248" s="5"/>
      <c r="M248" s="7"/>
      <c r="N248" s="4"/>
      <c r="O248" s="4"/>
      <c r="P248" s="8" t="str">
        <f aca="true">IF(B248="","",IF(O248&lt;&gt;"",O248-B248,TODAY()-B248))</f>
        <v/>
      </c>
      <c r="Q248" s="9" t="str">
        <f aca="true">IF(OR(N248="",L248="完了"),"",IF(TODAY()&gt;N248,"超過",IF(TODAY()+3&gt;=N248,"間近","")))</f>
        <v/>
      </c>
      <c r="R248" s="5"/>
      <c r="S248" s="10"/>
      <c r="T248" s="7"/>
    </row>
    <row r="249" customFormat="false" ht="15" hidden="false" customHeight="false" outlineLevel="0" collapsed="false">
      <c r="A249" s="3"/>
      <c r="B249" s="4"/>
      <c r="C249" s="4"/>
      <c r="D249" s="5"/>
      <c r="E249" s="7"/>
      <c r="F249" s="7"/>
      <c r="G249" s="7"/>
      <c r="H249" s="7"/>
      <c r="I249" s="7"/>
      <c r="J249" s="5"/>
      <c r="K249" s="5"/>
      <c r="L249" s="5"/>
      <c r="M249" s="7"/>
      <c r="N249" s="4"/>
      <c r="O249" s="4"/>
      <c r="P249" s="8" t="str">
        <f aca="true">IF(B249="","",IF(O249&lt;&gt;"",O249-B249,TODAY()-B249))</f>
        <v/>
      </c>
      <c r="Q249" s="9" t="str">
        <f aca="true">IF(OR(N249="",L249="完了"),"",IF(TODAY()&gt;N249,"超過",IF(TODAY()+3&gt;=N249,"間近","")))</f>
        <v/>
      </c>
      <c r="R249" s="5"/>
      <c r="S249" s="10"/>
      <c r="T249" s="7"/>
    </row>
    <row r="250" customFormat="false" ht="15" hidden="false" customHeight="false" outlineLevel="0" collapsed="false">
      <c r="A250" s="3"/>
      <c r="B250" s="4"/>
      <c r="C250" s="4"/>
      <c r="D250" s="5"/>
      <c r="E250" s="7"/>
      <c r="F250" s="7"/>
      <c r="G250" s="7"/>
      <c r="H250" s="7"/>
      <c r="I250" s="7"/>
      <c r="J250" s="5"/>
      <c r="K250" s="5"/>
      <c r="L250" s="5"/>
      <c r="M250" s="7"/>
      <c r="N250" s="4"/>
      <c r="O250" s="4"/>
      <c r="P250" s="8" t="str">
        <f aca="true">IF(B250="","",IF(O250&lt;&gt;"",O250-B250,TODAY()-B250))</f>
        <v/>
      </c>
      <c r="Q250" s="9" t="str">
        <f aca="true">IF(OR(N250="",L250="完了"),"",IF(TODAY()&gt;N250,"超過",IF(TODAY()+3&gt;=N250,"間近","")))</f>
        <v/>
      </c>
      <c r="R250" s="5"/>
      <c r="S250" s="10"/>
      <c r="T250" s="7"/>
    </row>
    <row r="251" customFormat="false" ht="15" hidden="false" customHeight="false" outlineLevel="0" collapsed="false">
      <c r="A251" s="3"/>
      <c r="B251" s="4"/>
      <c r="C251" s="4"/>
      <c r="D251" s="5"/>
      <c r="E251" s="7"/>
      <c r="F251" s="7"/>
      <c r="G251" s="7"/>
      <c r="H251" s="7"/>
      <c r="I251" s="7"/>
      <c r="J251" s="5"/>
      <c r="K251" s="5"/>
      <c r="L251" s="5"/>
      <c r="M251" s="7"/>
      <c r="N251" s="4"/>
      <c r="O251" s="4"/>
      <c r="P251" s="8" t="str">
        <f aca="true">IF(B251="","",IF(O251&lt;&gt;"",O251-B251,TODAY()-B251))</f>
        <v/>
      </c>
      <c r="Q251" s="9" t="str">
        <f aca="true">IF(OR(N251="",L251="完了"),"",IF(TODAY()&gt;N251,"超過",IF(TODAY()+3&gt;=N251,"間近","")))</f>
        <v/>
      </c>
      <c r="R251" s="5"/>
      <c r="S251" s="10"/>
      <c r="T251" s="7"/>
    </row>
    <row r="252" customFormat="false" ht="15" hidden="false" customHeight="false" outlineLevel="0" collapsed="false">
      <c r="A252" s="3"/>
      <c r="B252" s="4"/>
      <c r="C252" s="4"/>
      <c r="D252" s="5"/>
      <c r="E252" s="7"/>
      <c r="F252" s="7"/>
      <c r="G252" s="7"/>
      <c r="H252" s="7"/>
      <c r="I252" s="7"/>
      <c r="J252" s="5"/>
      <c r="K252" s="5"/>
      <c r="L252" s="5"/>
      <c r="M252" s="7"/>
      <c r="N252" s="4"/>
      <c r="O252" s="4"/>
      <c r="P252" s="8" t="str">
        <f aca="true">IF(B252="","",IF(O252&lt;&gt;"",O252-B252,TODAY()-B252))</f>
        <v/>
      </c>
      <c r="Q252" s="9" t="str">
        <f aca="true">IF(OR(N252="",L252="完了"),"",IF(TODAY()&gt;N252,"超過",IF(TODAY()+3&gt;=N252,"間近","")))</f>
        <v/>
      </c>
      <c r="R252" s="5"/>
      <c r="S252" s="10"/>
      <c r="T252" s="7"/>
    </row>
    <row r="253" customFormat="false" ht="15" hidden="false" customHeight="false" outlineLevel="0" collapsed="false">
      <c r="A253" s="3"/>
      <c r="B253" s="4"/>
      <c r="C253" s="4"/>
      <c r="D253" s="5"/>
      <c r="E253" s="7"/>
      <c r="F253" s="7"/>
      <c r="G253" s="7"/>
      <c r="H253" s="7"/>
      <c r="I253" s="7"/>
      <c r="J253" s="5"/>
      <c r="K253" s="5"/>
      <c r="L253" s="5"/>
      <c r="M253" s="7"/>
      <c r="N253" s="4"/>
      <c r="O253" s="4"/>
      <c r="P253" s="8" t="str">
        <f aca="true">IF(B253="","",IF(O253&lt;&gt;"",O253-B253,TODAY()-B253))</f>
        <v/>
      </c>
      <c r="Q253" s="9" t="str">
        <f aca="true">IF(OR(N253="",L253="完了"),"",IF(TODAY()&gt;N253,"超過",IF(TODAY()+3&gt;=N253,"間近","")))</f>
        <v/>
      </c>
      <c r="R253" s="5"/>
      <c r="S253" s="10"/>
      <c r="T253" s="7"/>
    </row>
    <row r="254" customFormat="false" ht="15" hidden="false" customHeight="false" outlineLevel="0" collapsed="false">
      <c r="A254" s="3"/>
      <c r="B254" s="4"/>
      <c r="C254" s="4"/>
      <c r="D254" s="5"/>
      <c r="E254" s="7"/>
      <c r="F254" s="7"/>
      <c r="G254" s="7"/>
      <c r="H254" s="7"/>
      <c r="I254" s="7"/>
      <c r="J254" s="5"/>
      <c r="K254" s="5"/>
      <c r="L254" s="5"/>
      <c r="M254" s="7"/>
      <c r="N254" s="4"/>
      <c r="O254" s="4"/>
      <c r="P254" s="8" t="str">
        <f aca="true">IF(B254="","",IF(O254&lt;&gt;"",O254-B254,TODAY()-B254))</f>
        <v/>
      </c>
      <c r="Q254" s="9" t="str">
        <f aca="true">IF(OR(N254="",L254="完了"),"",IF(TODAY()&gt;N254,"超過",IF(TODAY()+3&gt;=N254,"間近","")))</f>
        <v/>
      </c>
      <c r="R254" s="5"/>
      <c r="S254" s="10"/>
      <c r="T254" s="7"/>
    </row>
    <row r="255" customFormat="false" ht="15" hidden="false" customHeight="false" outlineLevel="0" collapsed="false">
      <c r="A255" s="3"/>
      <c r="B255" s="4"/>
      <c r="C255" s="4"/>
      <c r="D255" s="5"/>
      <c r="E255" s="7"/>
      <c r="F255" s="7"/>
      <c r="G255" s="7"/>
      <c r="H255" s="7"/>
      <c r="I255" s="7"/>
      <c r="J255" s="5"/>
      <c r="K255" s="5"/>
      <c r="L255" s="5"/>
      <c r="M255" s="7"/>
      <c r="N255" s="4"/>
      <c r="O255" s="4"/>
      <c r="P255" s="8" t="str">
        <f aca="true">IF(B255="","",IF(O255&lt;&gt;"",O255-B255,TODAY()-B255))</f>
        <v/>
      </c>
      <c r="Q255" s="9" t="str">
        <f aca="true">IF(OR(N255="",L255="完了"),"",IF(TODAY()&gt;N255,"超過",IF(TODAY()+3&gt;=N255,"間近","")))</f>
        <v/>
      </c>
      <c r="R255" s="5"/>
      <c r="S255" s="10"/>
      <c r="T255" s="7"/>
    </row>
    <row r="256" customFormat="false" ht="15" hidden="false" customHeight="false" outlineLevel="0" collapsed="false">
      <c r="A256" s="3"/>
      <c r="B256" s="4"/>
      <c r="C256" s="4"/>
      <c r="D256" s="5"/>
      <c r="E256" s="7"/>
      <c r="F256" s="7"/>
      <c r="G256" s="7"/>
      <c r="H256" s="7"/>
      <c r="I256" s="7"/>
      <c r="J256" s="5"/>
      <c r="K256" s="5"/>
      <c r="L256" s="5"/>
      <c r="M256" s="7"/>
      <c r="N256" s="4"/>
      <c r="O256" s="4"/>
      <c r="P256" s="8" t="str">
        <f aca="true">IF(B256="","",IF(O256&lt;&gt;"",O256-B256,TODAY()-B256))</f>
        <v/>
      </c>
      <c r="Q256" s="9" t="str">
        <f aca="true">IF(OR(N256="",L256="完了"),"",IF(TODAY()&gt;N256,"超過",IF(TODAY()+3&gt;=N256,"間近","")))</f>
        <v/>
      </c>
      <c r="R256" s="5"/>
      <c r="S256" s="10"/>
      <c r="T256" s="7"/>
    </row>
    <row r="257" customFormat="false" ht="15" hidden="false" customHeight="false" outlineLevel="0" collapsed="false">
      <c r="A257" s="3"/>
      <c r="B257" s="4"/>
      <c r="C257" s="4"/>
      <c r="D257" s="5"/>
      <c r="E257" s="7"/>
      <c r="F257" s="7"/>
      <c r="G257" s="7"/>
      <c r="H257" s="7"/>
      <c r="I257" s="7"/>
      <c r="J257" s="5"/>
      <c r="K257" s="5"/>
      <c r="L257" s="5"/>
      <c r="M257" s="7"/>
      <c r="N257" s="4"/>
      <c r="O257" s="4"/>
      <c r="P257" s="8" t="str">
        <f aca="true">IF(B257="","",IF(O257&lt;&gt;"",O257-B257,TODAY()-B257))</f>
        <v/>
      </c>
      <c r="Q257" s="9" t="str">
        <f aca="true">IF(OR(N257="",L257="完了"),"",IF(TODAY()&gt;N257,"超過",IF(TODAY()+3&gt;=N257,"間近","")))</f>
        <v/>
      </c>
      <c r="R257" s="5"/>
      <c r="S257" s="10"/>
      <c r="T257" s="7"/>
    </row>
    <row r="258" customFormat="false" ht="15" hidden="false" customHeight="false" outlineLevel="0" collapsed="false">
      <c r="A258" s="3"/>
      <c r="B258" s="4"/>
      <c r="C258" s="4"/>
      <c r="D258" s="5"/>
      <c r="E258" s="7"/>
      <c r="F258" s="7"/>
      <c r="G258" s="7"/>
      <c r="H258" s="7"/>
      <c r="I258" s="7"/>
      <c r="J258" s="5"/>
      <c r="K258" s="5"/>
      <c r="L258" s="5"/>
      <c r="M258" s="7"/>
      <c r="N258" s="4"/>
      <c r="O258" s="4"/>
      <c r="P258" s="8" t="str">
        <f aca="true">IF(B258="","",IF(O258&lt;&gt;"",O258-B258,TODAY()-B258))</f>
        <v/>
      </c>
      <c r="Q258" s="9" t="str">
        <f aca="true">IF(OR(N258="",L258="完了"),"",IF(TODAY()&gt;N258,"超過",IF(TODAY()+3&gt;=N258,"間近","")))</f>
        <v/>
      </c>
      <c r="R258" s="5"/>
      <c r="S258" s="10"/>
      <c r="T258" s="7"/>
    </row>
    <row r="259" customFormat="false" ht="15" hidden="false" customHeight="false" outlineLevel="0" collapsed="false">
      <c r="A259" s="3"/>
      <c r="B259" s="4"/>
      <c r="C259" s="4"/>
      <c r="D259" s="5"/>
      <c r="E259" s="7"/>
      <c r="F259" s="7"/>
      <c r="G259" s="7"/>
      <c r="H259" s="7"/>
      <c r="I259" s="7"/>
      <c r="J259" s="5"/>
      <c r="K259" s="5"/>
      <c r="L259" s="5"/>
      <c r="M259" s="7"/>
      <c r="N259" s="4"/>
      <c r="O259" s="4"/>
      <c r="P259" s="8" t="str">
        <f aca="true">IF(B259="","",IF(O259&lt;&gt;"",O259-B259,TODAY()-B259))</f>
        <v/>
      </c>
      <c r="Q259" s="9" t="str">
        <f aca="true">IF(OR(N259="",L259="完了"),"",IF(TODAY()&gt;N259,"超過",IF(TODAY()+3&gt;=N259,"間近","")))</f>
        <v/>
      </c>
      <c r="R259" s="5"/>
      <c r="S259" s="10"/>
      <c r="T259" s="7"/>
    </row>
    <row r="260" customFormat="false" ht="15" hidden="false" customHeight="false" outlineLevel="0" collapsed="false">
      <c r="A260" s="3"/>
      <c r="B260" s="4"/>
      <c r="C260" s="4"/>
      <c r="D260" s="5"/>
      <c r="E260" s="7"/>
      <c r="F260" s="7"/>
      <c r="G260" s="7"/>
      <c r="H260" s="7"/>
      <c r="I260" s="7"/>
      <c r="J260" s="5"/>
      <c r="K260" s="5"/>
      <c r="L260" s="5"/>
      <c r="M260" s="7"/>
      <c r="N260" s="4"/>
      <c r="O260" s="4"/>
      <c r="P260" s="8" t="str">
        <f aca="true">IF(B260="","",IF(O260&lt;&gt;"",O260-B260,TODAY()-B260))</f>
        <v/>
      </c>
      <c r="Q260" s="9" t="str">
        <f aca="true">IF(OR(N260="",L260="完了"),"",IF(TODAY()&gt;N260,"超過",IF(TODAY()+3&gt;=N260,"間近","")))</f>
        <v/>
      </c>
      <c r="R260" s="5"/>
      <c r="S260" s="10"/>
      <c r="T260" s="7"/>
    </row>
    <row r="261" customFormat="false" ht="15" hidden="false" customHeight="false" outlineLevel="0" collapsed="false">
      <c r="A261" s="3"/>
      <c r="B261" s="4"/>
      <c r="C261" s="4"/>
      <c r="D261" s="5"/>
      <c r="E261" s="7"/>
      <c r="F261" s="7"/>
      <c r="G261" s="7"/>
      <c r="H261" s="7"/>
      <c r="I261" s="7"/>
      <c r="J261" s="5"/>
      <c r="K261" s="5"/>
      <c r="L261" s="5"/>
      <c r="M261" s="7"/>
      <c r="N261" s="4"/>
      <c r="O261" s="4"/>
      <c r="P261" s="8" t="str">
        <f aca="true">IF(B261="","",IF(O261&lt;&gt;"",O261-B261,TODAY()-B261))</f>
        <v/>
      </c>
      <c r="Q261" s="9" t="str">
        <f aca="true">IF(OR(N261="",L261="完了"),"",IF(TODAY()&gt;N261,"超過",IF(TODAY()+3&gt;=N261,"間近","")))</f>
        <v/>
      </c>
      <c r="R261" s="5"/>
      <c r="S261" s="10"/>
      <c r="T261" s="7"/>
    </row>
    <row r="262" customFormat="false" ht="15" hidden="false" customHeight="false" outlineLevel="0" collapsed="false">
      <c r="A262" s="3"/>
      <c r="B262" s="4"/>
      <c r="C262" s="4"/>
      <c r="D262" s="5"/>
      <c r="E262" s="7"/>
      <c r="F262" s="7"/>
      <c r="G262" s="7"/>
      <c r="H262" s="7"/>
      <c r="I262" s="7"/>
      <c r="J262" s="5"/>
      <c r="K262" s="5"/>
      <c r="L262" s="5"/>
      <c r="M262" s="7"/>
      <c r="N262" s="4"/>
      <c r="O262" s="4"/>
      <c r="P262" s="8" t="str">
        <f aca="true">IF(B262="","",IF(O262&lt;&gt;"",O262-B262,TODAY()-B262))</f>
        <v/>
      </c>
      <c r="Q262" s="9" t="str">
        <f aca="true">IF(OR(N262="",L262="完了"),"",IF(TODAY()&gt;N262,"超過",IF(TODAY()+3&gt;=N262,"間近","")))</f>
        <v/>
      </c>
      <c r="R262" s="5"/>
      <c r="S262" s="10"/>
      <c r="T262" s="7"/>
    </row>
    <row r="263" customFormat="false" ht="15" hidden="false" customHeight="false" outlineLevel="0" collapsed="false">
      <c r="A263" s="3"/>
      <c r="B263" s="4"/>
      <c r="C263" s="4"/>
      <c r="D263" s="5"/>
      <c r="E263" s="7"/>
      <c r="F263" s="7"/>
      <c r="G263" s="7"/>
      <c r="H263" s="7"/>
      <c r="I263" s="7"/>
      <c r="J263" s="5"/>
      <c r="K263" s="5"/>
      <c r="L263" s="5"/>
      <c r="M263" s="7"/>
      <c r="N263" s="4"/>
      <c r="O263" s="4"/>
      <c r="P263" s="8" t="str">
        <f aca="true">IF(B263="","",IF(O263&lt;&gt;"",O263-B263,TODAY()-B263))</f>
        <v/>
      </c>
      <c r="Q263" s="9" t="str">
        <f aca="true">IF(OR(N263="",L263="完了"),"",IF(TODAY()&gt;N263,"超過",IF(TODAY()+3&gt;=N263,"間近","")))</f>
        <v/>
      </c>
      <c r="R263" s="5"/>
      <c r="S263" s="10"/>
      <c r="T263" s="7"/>
    </row>
    <row r="264" customFormat="false" ht="15" hidden="false" customHeight="false" outlineLevel="0" collapsed="false">
      <c r="A264" s="3"/>
      <c r="B264" s="4"/>
      <c r="C264" s="4"/>
      <c r="D264" s="5"/>
      <c r="E264" s="7"/>
      <c r="F264" s="7"/>
      <c r="G264" s="7"/>
      <c r="H264" s="7"/>
      <c r="I264" s="7"/>
      <c r="J264" s="5"/>
      <c r="K264" s="5"/>
      <c r="L264" s="5"/>
      <c r="M264" s="7"/>
      <c r="N264" s="4"/>
      <c r="O264" s="4"/>
      <c r="P264" s="8" t="str">
        <f aca="true">IF(B264="","",IF(O264&lt;&gt;"",O264-B264,TODAY()-B264))</f>
        <v/>
      </c>
      <c r="Q264" s="9" t="str">
        <f aca="true">IF(OR(N264="",L264="完了"),"",IF(TODAY()&gt;N264,"超過",IF(TODAY()+3&gt;=N264,"間近","")))</f>
        <v/>
      </c>
      <c r="R264" s="5"/>
      <c r="S264" s="10"/>
      <c r="T264" s="7"/>
    </row>
    <row r="265" customFormat="false" ht="15" hidden="false" customHeight="false" outlineLevel="0" collapsed="false">
      <c r="A265" s="3"/>
      <c r="B265" s="4"/>
      <c r="C265" s="4"/>
      <c r="D265" s="5"/>
      <c r="E265" s="7"/>
      <c r="F265" s="7"/>
      <c r="G265" s="7"/>
      <c r="H265" s="7"/>
      <c r="I265" s="7"/>
      <c r="J265" s="5"/>
      <c r="K265" s="5"/>
      <c r="L265" s="5"/>
      <c r="M265" s="7"/>
      <c r="N265" s="4"/>
      <c r="O265" s="4"/>
      <c r="P265" s="8" t="str">
        <f aca="true">IF(B265="","",IF(O265&lt;&gt;"",O265-B265,TODAY()-B265))</f>
        <v/>
      </c>
      <c r="Q265" s="9" t="str">
        <f aca="true">IF(OR(N265="",L265="完了"),"",IF(TODAY()&gt;N265,"超過",IF(TODAY()+3&gt;=N265,"間近","")))</f>
        <v/>
      </c>
      <c r="R265" s="5"/>
      <c r="S265" s="10"/>
      <c r="T265" s="7"/>
    </row>
    <row r="266" customFormat="false" ht="15" hidden="false" customHeight="false" outlineLevel="0" collapsed="false">
      <c r="A266" s="3"/>
      <c r="B266" s="4"/>
      <c r="C266" s="4"/>
      <c r="D266" s="5"/>
      <c r="E266" s="7"/>
      <c r="F266" s="7"/>
      <c r="G266" s="7"/>
      <c r="H266" s="7"/>
      <c r="I266" s="7"/>
      <c r="J266" s="5"/>
      <c r="K266" s="5"/>
      <c r="L266" s="5"/>
      <c r="M266" s="7"/>
      <c r="N266" s="4"/>
      <c r="O266" s="4"/>
      <c r="P266" s="8" t="str">
        <f aca="true">IF(B266="","",IF(O266&lt;&gt;"",O266-B266,TODAY()-B266))</f>
        <v/>
      </c>
      <c r="Q266" s="9" t="str">
        <f aca="true">IF(OR(N266="",L266="完了"),"",IF(TODAY()&gt;N266,"超過",IF(TODAY()+3&gt;=N266,"間近","")))</f>
        <v/>
      </c>
      <c r="R266" s="5"/>
      <c r="S266" s="10"/>
      <c r="T266" s="7"/>
    </row>
    <row r="267" customFormat="false" ht="15" hidden="false" customHeight="false" outlineLevel="0" collapsed="false">
      <c r="A267" s="3"/>
      <c r="B267" s="4"/>
      <c r="C267" s="4"/>
      <c r="D267" s="5"/>
      <c r="E267" s="7"/>
      <c r="F267" s="7"/>
      <c r="G267" s="7"/>
      <c r="H267" s="7"/>
      <c r="I267" s="7"/>
      <c r="J267" s="5"/>
      <c r="K267" s="5"/>
      <c r="L267" s="5"/>
      <c r="M267" s="7"/>
      <c r="N267" s="4"/>
      <c r="O267" s="4"/>
      <c r="P267" s="8" t="str">
        <f aca="true">IF(B267="","",IF(O267&lt;&gt;"",O267-B267,TODAY()-B267))</f>
        <v/>
      </c>
      <c r="Q267" s="9" t="str">
        <f aca="true">IF(OR(N267="",L267="完了"),"",IF(TODAY()&gt;N267,"超過",IF(TODAY()+3&gt;=N267,"間近","")))</f>
        <v/>
      </c>
      <c r="R267" s="5"/>
      <c r="S267" s="10"/>
      <c r="T267" s="7"/>
    </row>
    <row r="268" customFormat="false" ht="15" hidden="false" customHeight="false" outlineLevel="0" collapsed="false">
      <c r="A268" s="3"/>
      <c r="B268" s="4"/>
      <c r="C268" s="4"/>
      <c r="D268" s="5"/>
      <c r="E268" s="7"/>
      <c r="F268" s="7"/>
      <c r="G268" s="7"/>
      <c r="H268" s="7"/>
      <c r="I268" s="7"/>
      <c r="J268" s="5"/>
      <c r="K268" s="5"/>
      <c r="L268" s="5"/>
      <c r="M268" s="7"/>
      <c r="N268" s="4"/>
      <c r="O268" s="4"/>
      <c r="P268" s="8" t="str">
        <f aca="true">IF(B268="","",IF(O268&lt;&gt;"",O268-B268,TODAY()-B268))</f>
        <v/>
      </c>
      <c r="Q268" s="9" t="str">
        <f aca="true">IF(OR(N268="",L268="完了"),"",IF(TODAY()&gt;N268,"超過",IF(TODAY()+3&gt;=N268,"間近","")))</f>
        <v/>
      </c>
      <c r="R268" s="5"/>
      <c r="S268" s="10"/>
      <c r="T268" s="7"/>
    </row>
    <row r="269" customFormat="false" ht="15" hidden="false" customHeight="false" outlineLevel="0" collapsed="false">
      <c r="A269" s="3"/>
      <c r="B269" s="4"/>
      <c r="C269" s="4"/>
      <c r="D269" s="5"/>
      <c r="E269" s="7"/>
      <c r="F269" s="7"/>
      <c r="G269" s="7"/>
      <c r="H269" s="7"/>
      <c r="I269" s="7"/>
      <c r="J269" s="5"/>
      <c r="K269" s="5"/>
      <c r="L269" s="5"/>
      <c r="M269" s="7"/>
      <c r="N269" s="4"/>
      <c r="O269" s="4"/>
      <c r="P269" s="8" t="str">
        <f aca="true">IF(B269="","",IF(O269&lt;&gt;"",O269-B269,TODAY()-B269))</f>
        <v/>
      </c>
      <c r="Q269" s="9" t="str">
        <f aca="true">IF(OR(N269="",L269="完了"),"",IF(TODAY()&gt;N269,"超過",IF(TODAY()+3&gt;=N269,"間近","")))</f>
        <v/>
      </c>
      <c r="R269" s="5"/>
      <c r="S269" s="10"/>
      <c r="T269" s="7"/>
    </row>
    <row r="270" customFormat="false" ht="15" hidden="false" customHeight="false" outlineLevel="0" collapsed="false">
      <c r="A270" s="3"/>
      <c r="B270" s="4"/>
      <c r="C270" s="4"/>
      <c r="D270" s="5"/>
      <c r="E270" s="7"/>
      <c r="F270" s="7"/>
      <c r="G270" s="7"/>
      <c r="H270" s="7"/>
      <c r="I270" s="7"/>
      <c r="J270" s="5"/>
      <c r="K270" s="5"/>
      <c r="L270" s="5"/>
      <c r="M270" s="7"/>
      <c r="N270" s="4"/>
      <c r="O270" s="4"/>
      <c r="P270" s="8" t="str">
        <f aca="true">IF(B270="","",IF(O270&lt;&gt;"",O270-B270,TODAY()-B270))</f>
        <v/>
      </c>
      <c r="Q270" s="9" t="str">
        <f aca="true">IF(OR(N270="",L270="完了"),"",IF(TODAY()&gt;N270,"超過",IF(TODAY()+3&gt;=N270,"間近","")))</f>
        <v/>
      </c>
      <c r="R270" s="5"/>
      <c r="S270" s="10"/>
      <c r="T270" s="7"/>
    </row>
    <row r="271" customFormat="false" ht="15" hidden="false" customHeight="false" outlineLevel="0" collapsed="false">
      <c r="A271" s="3"/>
      <c r="B271" s="4"/>
      <c r="C271" s="4"/>
      <c r="D271" s="5"/>
      <c r="E271" s="7"/>
      <c r="F271" s="7"/>
      <c r="G271" s="7"/>
      <c r="H271" s="7"/>
      <c r="I271" s="7"/>
      <c r="J271" s="5"/>
      <c r="K271" s="5"/>
      <c r="L271" s="5"/>
      <c r="M271" s="7"/>
      <c r="N271" s="4"/>
      <c r="O271" s="4"/>
      <c r="P271" s="8" t="str">
        <f aca="true">IF(B271="","",IF(O271&lt;&gt;"",O271-B271,TODAY()-B271))</f>
        <v/>
      </c>
      <c r="Q271" s="9" t="str">
        <f aca="true">IF(OR(N271="",L271="完了"),"",IF(TODAY()&gt;N271,"超過",IF(TODAY()+3&gt;=N271,"間近","")))</f>
        <v/>
      </c>
      <c r="R271" s="5"/>
      <c r="S271" s="10"/>
      <c r="T271" s="7"/>
    </row>
    <row r="272" customFormat="false" ht="15" hidden="false" customHeight="false" outlineLevel="0" collapsed="false">
      <c r="A272" s="3"/>
      <c r="B272" s="4"/>
      <c r="C272" s="4"/>
      <c r="D272" s="5"/>
      <c r="E272" s="7"/>
      <c r="F272" s="7"/>
      <c r="G272" s="7"/>
      <c r="H272" s="7"/>
      <c r="I272" s="7"/>
      <c r="J272" s="5"/>
      <c r="K272" s="5"/>
      <c r="L272" s="5"/>
      <c r="M272" s="7"/>
      <c r="N272" s="4"/>
      <c r="O272" s="4"/>
      <c r="P272" s="8" t="str">
        <f aca="true">IF(B272="","",IF(O272&lt;&gt;"",O272-B272,TODAY()-B272))</f>
        <v/>
      </c>
      <c r="Q272" s="9" t="str">
        <f aca="true">IF(OR(N272="",L272="完了"),"",IF(TODAY()&gt;N272,"超過",IF(TODAY()+3&gt;=N272,"間近","")))</f>
        <v/>
      </c>
      <c r="R272" s="5"/>
      <c r="S272" s="10"/>
      <c r="T272" s="7"/>
    </row>
    <row r="273" customFormat="false" ht="15" hidden="false" customHeight="false" outlineLevel="0" collapsed="false">
      <c r="A273" s="3"/>
      <c r="B273" s="4"/>
      <c r="C273" s="4"/>
      <c r="D273" s="5"/>
      <c r="E273" s="7"/>
      <c r="F273" s="7"/>
      <c r="G273" s="7"/>
      <c r="H273" s="7"/>
      <c r="I273" s="7"/>
      <c r="J273" s="5"/>
      <c r="K273" s="5"/>
      <c r="L273" s="5"/>
      <c r="M273" s="7"/>
      <c r="N273" s="4"/>
      <c r="O273" s="4"/>
      <c r="P273" s="8" t="str">
        <f aca="true">IF(B273="","",IF(O273&lt;&gt;"",O273-B273,TODAY()-B273))</f>
        <v/>
      </c>
      <c r="Q273" s="9" t="str">
        <f aca="true">IF(OR(N273="",L273="完了"),"",IF(TODAY()&gt;N273,"超過",IF(TODAY()+3&gt;=N273,"間近","")))</f>
        <v/>
      </c>
      <c r="R273" s="5"/>
      <c r="S273" s="10"/>
      <c r="T273" s="7"/>
    </row>
    <row r="274" customFormat="false" ht="15" hidden="false" customHeight="false" outlineLevel="0" collapsed="false">
      <c r="A274" s="3"/>
      <c r="B274" s="4"/>
      <c r="C274" s="4"/>
      <c r="D274" s="5"/>
      <c r="E274" s="7"/>
      <c r="F274" s="7"/>
      <c r="G274" s="7"/>
      <c r="H274" s="7"/>
      <c r="I274" s="7"/>
      <c r="J274" s="5"/>
      <c r="K274" s="5"/>
      <c r="L274" s="5"/>
      <c r="M274" s="7"/>
      <c r="N274" s="4"/>
      <c r="O274" s="4"/>
      <c r="P274" s="8" t="str">
        <f aca="true">IF(B274="","",IF(O274&lt;&gt;"",O274-B274,TODAY()-B274))</f>
        <v/>
      </c>
      <c r="Q274" s="9" t="str">
        <f aca="true">IF(OR(N274="",L274="完了"),"",IF(TODAY()&gt;N274,"超過",IF(TODAY()+3&gt;=N274,"間近","")))</f>
        <v/>
      </c>
      <c r="R274" s="5"/>
      <c r="S274" s="10"/>
      <c r="T274" s="7"/>
    </row>
    <row r="275" customFormat="false" ht="15" hidden="false" customHeight="false" outlineLevel="0" collapsed="false">
      <c r="A275" s="3"/>
      <c r="B275" s="4"/>
      <c r="C275" s="4"/>
      <c r="D275" s="5"/>
      <c r="E275" s="7"/>
      <c r="F275" s="7"/>
      <c r="G275" s="7"/>
      <c r="H275" s="7"/>
      <c r="I275" s="7"/>
      <c r="J275" s="5"/>
      <c r="K275" s="5"/>
      <c r="L275" s="5"/>
      <c r="M275" s="7"/>
      <c r="N275" s="4"/>
      <c r="O275" s="4"/>
      <c r="P275" s="8" t="str">
        <f aca="true">IF(B275="","",IF(O275&lt;&gt;"",O275-B275,TODAY()-B275))</f>
        <v/>
      </c>
      <c r="Q275" s="9" t="str">
        <f aca="true">IF(OR(N275="",L275="完了"),"",IF(TODAY()&gt;N275,"超過",IF(TODAY()+3&gt;=N275,"間近","")))</f>
        <v/>
      </c>
      <c r="R275" s="5"/>
      <c r="S275" s="10"/>
      <c r="T275" s="7"/>
    </row>
    <row r="276" customFormat="false" ht="15" hidden="false" customHeight="false" outlineLevel="0" collapsed="false">
      <c r="A276" s="3"/>
      <c r="B276" s="4"/>
      <c r="C276" s="4"/>
      <c r="D276" s="5"/>
      <c r="E276" s="7"/>
      <c r="F276" s="7"/>
      <c r="G276" s="7"/>
      <c r="H276" s="7"/>
      <c r="I276" s="7"/>
      <c r="J276" s="5"/>
      <c r="K276" s="5"/>
      <c r="L276" s="5"/>
      <c r="M276" s="7"/>
      <c r="N276" s="4"/>
      <c r="O276" s="4"/>
      <c r="P276" s="8" t="str">
        <f aca="true">IF(B276="","",IF(O276&lt;&gt;"",O276-B276,TODAY()-B276))</f>
        <v/>
      </c>
      <c r="Q276" s="9" t="str">
        <f aca="true">IF(OR(N276="",L276="完了"),"",IF(TODAY()&gt;N276,"超過",IF(TODAY()+3&gt;=N276,"間近","")))</f>
        <v/>
      </c>
      <c r="R276" s="5"/>
      <c r="S276" s="10"/>
      <c r="T276" s="7"/>
    </row>
    <row r="277" customFormat="false" ht="15" hidden="false" customHeight="false" outlineLevel="0" collapsed="false">
      <c r="A277" s="3"/>
      <c r="B277" s="4"/>
      <c r="C277" s="4"/>
      <c r="D277" s="5"/>
      <c r="E277" s="7"/>
      <c r="F277" s="7"/>
      <c r="G277" s="7"/>
      <c r="H277" s="7"/>
      <c r="I277" s="7"/>
      <c r="J277" s="5"/>
      <c r="K277" s="5"/>
      <c r="L277" s="5"/>
      <c r="M277" s="7"/>
      <c r="N277" s="4"/>
      <c r="O277" s="4"/>
      <c r="P277" s="8" t="str">
        <f aca="true">IF(B277="","",IF(O277&lt;&gt;"",O277-B277,TODAY()-B277))</f>
        <v/>
      </c>
      <c r="Q277" s="9" t="str">
        <f aca="true">IF(OR(N277="",L277="完了"),"",IF(TODAY()&gt;N277,"超過",IF(TODAY()+3&gt;=N277,"間近","")))</f>
        <v/>
      </c>
      <c r="R277" s="5"/>
      <c r="S277" s="10"/>
      <c r="T277" s="7"/>
    </row>
    <row r="278" customFormat="false" ht="15" hidden="false" customHeight="false" outlineLevel="0" collapsed="false">
      <c r="A278" s="3"/>
      <c r="B278" s="4"/>
      <c r="C278" s="4"/>
      <c r="D278" s="5"/>
      <c r="E278" s="7"/>
      <c r="F278" s="7"/>
      <c r="G278" s="7"/>
      <c r="H278" s="7"/>
      <c r="I278" s="7"/>
      <c r="J278" s="5"/>
      <c r="K278" s="5"/>
      <c r="L278" s="5"/>
      <c r="M278" s="7"/>
      <c r="N278" s="4"/>
      <c r="O278" s="4"/>
      <c r="P278" s="8" t="str">
        <f aca="true">IF(B278="","",IF(O278&lt;&gt;"",O278-B278,TODAY()-B278))</f>
        <v/>
      </c>
      <c r="Q278" s="9" t="str">
        <f aca="true">IF(OR(N278="",L278="完了"),"",IF(TODAY()&gt;N278,"超過",IF(TODAY()+3&gt;=N278,"間近","")))</f>
        <v/>
      </c>
      <c r="R278" s="5"/>
      <c r="S278" s="10"/>
      <c r="T278" s="7"/>
    </row>
    <row r="279" customFormat="false" ht="15" hidden="false" customHeight="false" outlineLevel="0" collapsed="false">
      <c r="A279" s="3"/>
      <c r="B279" s="4"/>
      <c r="C279" s="4"/>
      <c r="D279" s="5"/>
      <c r="E279" s="7"/>
      <c r="F279" s="7"/>
      <c r="G279" s="7"/>
      <c r="H279" s="7"/>
      <c r="I279" s="7"/>
      <c r="J279" s="5"/>
      <c r="K279" s="5"/>
      <c r="L279" s="5"/>
      <c r="M279" s="7"/>
      <c r="N279" s="4"/>
      <c r="O279" s="4"/>
      <c r="P279" s="8" t="str">
        <f aca="true">IF(B279="","",IF(O279&lt;&gt;"",O279-B279,TODAY()-B279))</f>
        <v/>
      </c>
      <c r="Q279" s="9" t="str">
        <f aca="true">IF(OR(N279="",L279="完了"),"",IF(TODAY()&gt;N279,"超過",IF(TODAY()+3&gt;=N279,"間近","")))</f>
        <v/>
      </c>
      <c r="R279" s="5"/>
      <c r="S279" s="10"/>
      <c r="T279" s="7"/>
    </row>
    <row r="280" customFormat="false" ht="15" hidden="false" customHeight="false" outlineLevel="0" collapsed="false">
      <c r="A280" s="3"/>
      <c r="B280" s="4"/>
      <c r="C280" s="4"/>
      <c r="D280" s="5"/>
      <c r="E280" s="7"/>
      <c r="F280" s="7"/>
      <c r="G280" s="7"/>
      <c r="H280" s="7"/>
      <c r="I280" s="7"/>
      <c r="J280" s="5"/>
      <c r="K280" s="5"/>
      <c r="L280" s="5"/>
      <c r="M280" s="7"/>
      <c r="N280" s="4"/>
      <c r="O280" s="4"/>
      <c r="P280" s="8" t="str">
        <f aca="true">IF(B280="","",IF(O280&lt;&gt;"",O280-B280,TODAY()-B280))</f>
        <v/>
      </c>
      <c r="Q280" s="9" t="str">
        <f aca="true">IF(OR(N280="",L280="完了"),"",IF(TODAY()&gt;N280,"超過",IF(TODAY()+3&gt;=N280,"間近","")))</f>
        <v/>
      </c>
      <c r="R280" s="5"/>
      <c r="S280" s="10"/>
      <c r="T280" s="7"/>
    </row>
    <row r="281" customFormat="false" ht="15" hidden="false" customHeight="false" outlineLevel="0" collapsed="false">
      <c r="A281" s="3"/>
      <c r="B281" s="4"/>
      <c r="C281" s="4"/>
      <c r="D281" s="5"/>
      <c r="E281" s="7"/>
      <c r="F281" s="7"/>
      <c r="G281" s="7"/>
      <c r="H281" s="7"/>
      <c r="I281" s="7"/>
      <c r="J281" s="5"/>
      <c r="K281" s="5"/>
      <c r="L281" s="5"/>
      <c r="M281" s="7"/>
      <c r="N281" s="4"/>
      <c r="O281" s="4"/>
      <c r="P281" s="8" t="str">
        <f aca="true">IF(B281="","",IF(O281&lt;&gt;"",O281-B281,TODAY()-B281))</f>
        <v/>
      </c>
      <c r="Q281" s="9" t="str">
        <f aca="true">IF(OR(N281="",L281="完了"),"",IF(TODAY()&gt;N281,"超過",IF(TODAY()+3&gt;=N281,"間近","")))</f>
        <v/>
      </c>
      <c r="R281" s="5"/>
      <c r="S281" s="10"/>
      <c r="T281" s="7"/>
    </row>
    <row r="282" customFormat="false" ht="15" hidden="false" customHeight="false" outlineLevel="0" collapsed="false">
      <c r="A282" s="3"/>
      <c r="B282" s="4"/>
      <c r="C282" s="4"/>
      <c r="D282" s="5"/>
      <c r="E282" s="7"/>
      <c r="F282" s="7"/>
      <c r="G282" s="7"/>
      <c r="H282" s="7"/>
      <c r="I282" s="7"/>
      <c r="J282" s="5"/>
      <c r="K282" s="5"/>
      <c r="L282" s="5"/>
      <c r="M282" s="7"/>
      <c r="N282" s="4"/>
      <c r="O282" s="4"/>
      <c r="P282" s="8" t="str">
        <f aca="true">IF(B282="","",IF(O282&lt;&gt;"",O282-B282,TODAY()-B282))</f>
        <v/>
      </c>
      <c r="Q282" s="9" t="str">
        <f aca="true">IF(OR(N282="",L282="完了"),"",IF(TODAY()&gt;N282,"超過",IF(TODAY()+3&gt;=N282,"間近","")))</f>
        <v/>
      </c>
      <c r="R282" s="5"/>
      <c r="S282" s="10"/>
      <c r="T282" s="7"/>
    </row>
    <row r="283" customFormat="false" ht="15" hidden="false" customHeight="false" outlineLevel="0" collapsed="false">
      <c r="A283" s="3"/>
      <c r="B283" s="4"/>
      <c r="C283" s="4"/>
      <c r="D283" s="5"/>
      <c r="E283" s="7"/>
      <c r="F283" s="7"/>
      <c r="G283" s="7"/>
      <c r="H283" s="7"/>
      <c r="I283" s="7"/>
      <c r="J283" s="5"/>
      <c r="K283" s="5"/>
      <c r="L283" s="5"/>
      <c r="M283" s="7"/>
      <c r="N283" s="4"/>
      <c r="O283" s="4"/>
      <c r="P283" s="8" t="str">
        <f aca="true">IF(B283="","",IF(O283&lt;&gt;"",O283-B283,TODAY()-B283))</f>
        <v/>
      </c>
      <c r="Q283" s="9" t="str">
        <f aca="true">IF(OR(N283="",L283="完了"),"",IF(TODAY()&gt;N283,"超過",IF(TODAY()+3&gt;=N283,"間近","")))</f>
        <v/>
      </c>
      <c r="R283" s="5"/>
      <c r="S283" s="10"/>
      <c r="T283" s="7"/>
    </row>
    <row r="284" customFormat="false" ht="15" hidden="false" customHeight="false" outlineLevel="0" collapsed="false">
      <c r="A284" s="3"/>
      <c r="B284" s="4"/>
      <c r="C284" s="4"/>
      <c r="D284" s="5"/>
      <c r="E284" s="7"/>
      <c r="F284" s="7"/>
      <c r="G284" s="7"/>
      <c r="H284" s="7"/>
      <c r="I284" s="7"/>
      <c r="J284" s="5"/>
      <c r="K284" s="5"/>
      <c r="L284" s="5"/>
      <c r="M284" s="7"/>
      <c r="N284" s="4"/>
      <c r="O284" s="4"/>
      <c r="P284" s="8" t="str">
        <f aca="true">IF(B284="","",IF(O284&lt;&gt;"",O284-B284,TODAY()-B284))</f>
        <v/>
      </c>
      <c r="Q284" s="9" t="str">
        <f aca="true">IF(OR(N284="",L284="完了"),"",IF(TODAY()&gt;N284,"超過",IF(TODAY()+3&gt;=N284,"間近","")))</f>
        <v/>
      </c>
      <c r="R284" s="5"/>
      <c r="S284" s="10"/>
      <c r="T284" s="7"/>
    </row>
    <row r="285" customFormat="false" ht="15" hidden="false" customHeight="false" outlineLevel="0" collapsed="false">
      <c r="A285" s="3"/>
      <c r="B285" s="4"/>
      <c r="C285" s="4"/>
      <c r="D285" s="5"/>
      <c r="E285" s="7"/>
      <c r="F285" s="7"/>
      <c r="G285" s="7"/>
      <c r="H285" s="7"/>
      <c r="I285" s="7"/>
      <c r="J285" s="5"/>
      <c r="K285" s="5"/>
      <c r="L285" s="5"/>
      <c r="M285" s="7"/>
      <c r="N285" s="4"/>
      <c r="O285" s="4"/>
      <c r="P285" s="8" t="str">
        <f aca="true">IF(B285="","",IF(O285&lt;&gt;"",O285-B285,TODAY()-B285))</f>
        <v/>
      </c>
      <c r="Q285" s="9" t="str">
        <f aca="true">IF(OR(N285="",L285="完了"),"",IF(TODAY()&gt;N285,"超過",IF(TODAY()+3&gt;=N285,"間近","")))</f>
        <v/>
      </c>
      <c r="R285" s="5"/>
      <c r="S285" s="10"/>
      <c r="T285" s="7"/>
    </row>
    <row r="286" customFormat="false" ht="15" hidden="false" customHeight="false" outlineLevel="0" collapsed="false">
      <c r="A286" s="3"/>
      <c r="B286" s="4"/>
      <c r="C286" s="4"/>
      <c r="D286" s="5"/>
      <c r="E286" s="7"/>
      <c r="F286" s="7"/>
      <c r="G286" s="7"/>
      <c r="H286" s="7"/>
      <c r="I286" s="7"/>
      <c r="J286" s="5"/>
      <c r="K286" s="5"/>
      <c r="L286" s="5"/>
      <c r="M286" s="7"/>
      <c r="N286" s="4"/>
      <c r="O286" s="4"/>
      <c r="P286" s="8" t="str">
        <f aca="true">IF(B286="","",IF(O286&lt;&gt;"",O286-B286,TODAY()-B286))</f>
        <v/>
      </c>
      <c r="Q286" s="9" t="str">
        <f aca="true">IF(OR(N286="",L286="完了"),"",IF(TODAY()&gt;N286,"超過",IF(TODAY()+3&gt;=N286,"間近","")))</f>
        <v/>
      </c>
      <c r="R286" s="5"/>
      <c r="S286" s="10"/>
      <c r="T286" s="7"/>
    </row>
    <row r="287" customFormat="false" ht="15" hidden="false" customHeight="false" outlineLevel="0" collapsed="false">
      <c r="A287" s="3"/>
      <c r="B287" s="4"/>
      <c r="C287" s="4"/>
      <c r="D287" s="5"/>
      <c r="E287" s="7"/>
      <c r="F287" s="7"/>
      <c r="G287" s="7"/>
      <c r="H287" s="7"/>
      <c r="I287" s="7"/>
      <c r="J287" s="5"/>
      <c r="K287" s="5"/>
      <c r="L287" s="5"/>
      <c r="M287" s="7"/>
      <c r="N287" s="4"/>
      <c r="O287" s="4"/>
      <c r="P287" s="8" t="str">
        <f aca="true">IF(B287="","",IF(O287&lt;&gt;"",O287-B287,TODAY()-B287))</f>
        <v/>
      </c>
      <c r="Q287" s="9" t="str">
        <f aca="true">IF(OR(N287="",L287="完了"),"",IF(TODAY()&gt;N287,"超過",IF(TODAY()+3&gt;=N287,"間近","")))</f>
        <v/>
      </c>
      <c r="R287" s="5"/>
      <c r="S287" s="10"/>
      <c r="T287" s="7"/>
    </row>
    <row r="288" customFormat="false" ht="15" hidden="false" customHeight="false" outlineLevel="0" collapsed="false">
      <c r="A288" s="3"/>
      <c r="B288" s="4"/>
      <c r="C288" s="4"/>
      <c r="D288" s="5"/>
      <c r="E288" s="7"/>
      <c r="F288" s="7"/>
      <c r="G288" s="7"/>
      <c r="H288" s="7"/>
      <c r="I288" s="7"/>
      <c r="J288" s="5"/>
      <c r="K288" s="5"/>
      <c r="L288" s="5"/>
      <c r="M288" s="7"/>
      <c r="N288" s="4"/>
      <c r="O288" s="4"/>
      <c r="P288" s="8" t="str">
        <f aca="true">IF(B288="","",IF(O288&lt;&gt;"",O288-B288,TODAY()-B288))</f>
        <v/>
      </c>
      <c r="Q288" s="9" t="str">
        <f aca="true">IF(OR(N288="",L288="完了"),"",IF(TODAY()&gt;N288,"超過",IF(TODAY()+3&gt;=N288,"間近","")))</f>
        <v/>
      </c>
      <c r="R288" s="5"/>
      <c r="S288" s="10"/>
      <c r="T288" s="7"/>
    </row>
    <row r="289" customFormat="false" ht="15" hidden="false" customHeight="false" outlineLevel="0" collapsed="false">
      <c r="A289" s="3"/>
      <c r="B289" s="4"/>
      <c r="C289" s="4"/>
      <c r="D289" s="5"/>
      <c r="E289" s="7"/>
      <c r="F289" s="7"/>
      <c r="G289" s="7"/>
      <c r="H289" s="7"/>
      <c r="I289" s="7"/>
      <c r="J289" s="5"/>
      <c r="K289" s="5"/>
      <c r="L289" s="5"/>
      <c r="M289" s="7"/>
      <c r="N289" s="4"/>
      <c r="O289" s="4"/>
      <c r="P289" s="8" t="str">
        <f aca="true">IF(B289="","",IF(O289&lt;&gt;"",O289-B289,TODAY()-B289))</f>
        <v/>
      </c>
      <c r="Q289" s="9" t="str">
        <f aca="true">IF(OR(N289="",L289="完了"),"",IF(TODAY()&gt;N289,"超過",IF(TODAY()+3&gt;=N289,"間近","")))</f>
        <v/>
      </c>
      <c r="R289" s="5"/>
      <c r="S289" s="10"/>
      <c r="T289" s="7"/>
    </row>
    <row r="290" customFormat="false" ht="15" hidden="false" customHeight="false" outlineLevel="0" collapsed="false">
      <c r="A290" s="3"/>
      <c r="B290" s="4"/>
      <c r="C290" s="4"/>
      <c r="D290" s="5"/>
      <c r="E290" s="7"/>
      <c r="F290" s="7"/>
      <c r="G290" s="7"/>
      <c r="H290" s="7"/>
      <c r="I290" s="7"/>
      <c r="J290" s="5"/>
      <c r="K290" s="5"/>
      <c r="L290" s="5"/>
      <c r="M290" s="7"/>
      <c r="N290" s="4"/>
      <c r="O290" s="4"/>
      <c r="P290" s="8" t="str">
        <f aca="true">IF(B290="","",IF(O290&lt;&gt;"",O290-B290,TODAY()-B290))</f>
        <v/>
      </c>
      <c r="Q290" s="9" t="str">
        <f aca="true">IF(OR(N290="",L290="完了"),"",IF(TODAY()&gt;N290,"超過",IF(TODAY()+3&gt;=N290,"間近","")))</f>
        <v/>
      </c>
      <c r="R290" s="5"/>
      <c r="S290" s="10"/>
      <c r="T290" s="7"/>
    </row>
    <row r="291" customFormat="false" ht="15" hidden="false" customHeight="false" outlineLevel="0" collapsed="false">
      <c r="A291" s="3"/>
      <c r="B291" s="4"/>
      <c r="C291" s="4"/>
      <c r="D291" s="5"/>
      <c r="E291" s="7"/>
      <c r="F291" s="7"/>
      <c r="G291" s="7"/>
      <c r="H291" s="7"/>
      <c r="I291" s="7"/>
      <c r="J291" s="5"/>
      <c r="K291" s="5"/>
      <c r="L291" s="5"/>
      <c r="M291" s="7"/>
      <c r="N291" s="4"/>
      <c r="O291" s="4"/>
      <c r="P291" s="8" t="str">
        <f aca="true">IF(B291="","",IF(O291&lt;&gt;"",O291-B291,TODAY()-B291))</f>
        <v/>
      </c>
      <c r="Q291" s="9" t="str">
        <f aca="true">IF(OR(N291="",L291="完了"),"",IF(TODAY()&gt;N291,"超過",IF(TODAY()+3&gt;=N291,"間近","")))</f>
        <v/>
      </c>
      <c r="R291" s="5"/>
      <c r="S291" s="10"/>
      <c r="T291" s="7"/>
    </row>
    <row r="292" customFormat="false" ht="15" hidden="false" customHeight="false" outlineLevel="0" collapsed="false">
      <c r="A292" s="3"/>
      <c r="B292" s="4"/>
      <c r="C292" s="4"/>
      <c r="D292" s="5"/>
      <c r="E292" s="7"/>
      <c r="F292" s="7"/>
      <c r="G292" s="7"/>
      <c r="H292" s="7"/>
      <c r="I292" s="7"/>
      <c r="J292" s="5"/>
      <c r="K292" s="5"/>
      <c r="L292" s="5"/>
      <c r="M292" s="7"/>
      <c r="N292" s="4"/>
      <c r="O292" s="4"/>
      <c r="P292" s="8" t="str">
        <f aca="true">IF(B292="","",IF(O292&lt;&gt;"",O292-B292,TODAY()-B292))</f>
        <v/>
      </c>
      <c r="Q292" s="9" t="str">
        <f aca="true">IF(OR(N292="",L292="完了"),"",IF(TODAY()&gt;N292,"超過",IF(TODAY()+3&gt;=N292,"間近","")))</f>
        <v/>
      </c>
      <c r="R292" s="5"/>
      <c r="S292" s="10"/>
      <c r="T292" s="7"/>
    </row>
    <row r="293" customFormat="false" ht="15" hidden="false" customHeight="false" outlineLevel="0" collapsed="false">
      <c r="A293" s="3"/>
      <c r="B293" s="4"/>
      <c r="C293" s="4"/>
      <c r="D293" s="5"/>
      <c r="E293" s="7"/>
      <c r="F293" s="7"/>
      <c r="G293" s="7"/>
      <c r="H293" s="7"/>
      <c r="I293" s="7"/>
      <c r="J293" s="5"/>
      <c r="K293" s="5"/>
      <c r="L293" s="5"/>
      <c r="M293" s="7"/>
      <c r="N293" s="4"/>
      <c r="O293" s="4"/>
      <c r="P293" s="8" t="str">
        <f aca="true">IF(B293="","",IF(O293&lt;&gt;"",O293-B293,TODAY()-B293))</f>
        <v/>
      </c>
      <c r="Q293" s="9" t="str">
        <f aca="true">IF(OR(N293="",L293="完了"),"",IF(TODAY()&gt;N293,"超過",IF(TODAY()+3&gt;=N293,"間近","")))</f>
        <v/>
      </c>
      <c r="R293" s="5"/>
      <c r="S293" s="10"/>
      <c r="T293" s="7"/>
    </row>
    <row r="294" customFormat="false" ht="15" hidden="false" customHeight="false" outlineLevel="0" collapsed="false">
      <c r="A294" s="3"/>
      <c r="B294" s="4"/>
      <c r="C294" s="4"/>
      <c r="D294" s="5"/>
      <c r="E294" s="7"/>
      <c r="F294" s="7"/>
      <c r="G294" s="7"/>
      <c r="H294" s="7"/>
      <c r="I294" s="7"/>
      <c r="J294" s="5"/>
      <c r="K294" s="5"/>
      <c r="L294" s="5"/>
      <c r="M294" s="7"/>
      <c r="N294" s="4"/>
      <c r="O294" s="4"/>
      <c r="P294" s="8" t="str">
        <f aca="true">IF(B294="","",IF(O294&lt;&gt;"",O294-B294,TODAY()-B294))</f>
        <v/>
      </c>
      <c r="Q294" s="9" t="str">
        <f aca="true">IF(OR(N294="",L294="完了"),"",IF(TODAY()&gt;N294,"超過",IF(TODAY()+3&gt;=N294,"間近","")))</f>
        <v/>
      </c>
      <c r="R294" s="5"/>
      <c r="S294" s="10"/>
      <c r="T294" s="7"/>
    </row>
    <row r="295" customFormat="false" ht="15" hidden="false" customHeight="false" outlineLevel="0" collapsed="false">
      <c r="A295" s="3"/>
      <c r="B295" s="4"/>
      <c r="C295" s="4"/>
      <c r="D295" s="5"/>
      <c r="E295" s="7"/>
      <c r="F295" s="7"/>
      <c r="G295" s="7"/>
      <c r="H295" s="7"/>
      <c r="I295" s="7"/>
      <c r="J295" s="5"/>
      <c r="K295" s="5"/>
      <c r="L295" s="5"/>
      <c r="M295" s="7"/>
      <c r="N295" s="4"/>
      <c r="O295" s="4"/>
      <c r="P295" s="8" t="str">
        <f aca="true">IF(B295="","",IF(O295&lt;&gt;"",O295-B295,TODAY()-B295))</f>
        <v/>
      </c>
      <c r="Q295" s="9" t="str">
        <f aca="true">IF(OR(N295="",L295="完了"),"",IF(TODAY()&gt;N295,"超過",IF(TODAY()+3&gt;=N295,"間近","")))</f>
        <v/>
      </c>
      <c r="R295" s="5"/>
      <c r="S295" s="10"/>
      <c r="T295" s="7"/>
    </row>
    <row r="296" customFormat="false" ht="15" hidden="false" customHeight="false" outlineLevel="0" collapsed="false">
      <c r="A296" s="3"/>
      <c r="B296" s="4"/>
      <c r="C296" s="4"/>
      <c r="D296" s="5"/>
      <c r="E296" s="7"/>
      <c r="F296" s="7"/>
      <c r="G296" s="7"/>
      <c r="H296" s="7"/>
      <c r="I296" s="7"/>
      <c r="J296" s="5"/>
      <c r="K296" s="5"/>
      <c r="L296" s="5"/>
      <c r="M296" s="7"/>
      <c r="N296" s="4"/>
      <c r="O296" s="4"/>
      <c r="P296" s="8" t="str">
        <f aca="true">IF(B296="","",IF(O296&lt;&gt;"",O296-B296,TODAY()-B296))</f>
        <v/>
      </c>
      <c r="Q296" s="9" t="str">
        <f aca="true">IF(OR(N296="",L296="完了"),"",IF(TODAY()&gt;N296,"超過",IF(TODAY()+3&gt;=N296,"間近","")))</f>
        <v/>
      </c>
      <c r="R296" s="5"/>
      <c r="S296" s="10"/>
      <c r="T296" s="7"/>
    </row>
    <row r="297" customFormat="false" ht="15" hidden="false" customHeight="false" outlineLevel="0" collapsed="false">
      <c r="A297" s="3"/>
      <c r="B297" s="4"/>
      <c r="C297" s="4"/>
      <c r="D297" s="5"/>
      <c r="E297" s="7"/>
      <c r="F297" s="7"/>
      <c r="G297" s="7"/>
      <c r="H297" s="7"/>
      <c r="I297" s="7"/>
      <c r="J297" s="5"/>
      <c r="K297" s="5"/>
      <c r="L297" s="5"/>
      <c r="M297" s="7"/>
      <c r="N297" s="4"/>
      <c r="O297" s="4"/>
      <c r="P297" s="8" t="str">
        <f aca="true">IF(B297="","",IF(O297&lt;&gt;"",O297-B297,TODAY()-B297))</f>
        <v/>
      </c>
      <c r="Q297" s="9" t="str">
        <f aca="true">IF(OR(N297="",L297="完了"),"",IF(TODAY()&gt;N297,"超過",IF(TODAY()+3&gt;=N297,"間近","")))</f>
        <v/>
      </c>
      <c r="R297" s="5"/>
      <c r="S297" s="10"/>
      <c r="T297" s="7"/>
    </row>
    <row r="298" customFormat="false" ht="15" hidden="false" customHeight="false" outlineLevel="0" collapsed="false">
      <c r="A298" s="3"/>
      <c r="B298" s="4"/>
      <c r="C298" s="4"/>
      <c r="D298" s="5"/>
      <c r="E298" s="7"/>
      <c r="F298" s="7"/>
      <c r="G298" s="7"/>
      <c r="H298" s="7"/>
      <c r="I298" s="7"/>
      <c r="J298" s="5"/>
      <c r="K298" s="5"/>
      <c r="L298" s="5"/>
      <c r="M298" s="7"/>
      <c r="N298" s="4"/>
      <c r="O298" s="4"/>
      <c r="P298" s="8" t="str">
        <f aca="true">IF(B298="","",IF(O298&lt;&gt;"",O298-B298,TODAY()-B298))</f>
        <v/>
      </c>
      <c r="Q298" s="9" t="str">
        <f aca="true">IF(OR(N298="",L298="完了"),"",IF(TODAY()&gt;N298,"超過",IF(TODAY()+3&gt;=N298,"間近","")))</f>
        <v/>
      </c>
      <c r="R298" s="5"/>
      <c r="S298" s="10"/>
      <c r="T298" s="7"/>
    </row>
    <row r="299" customFormat="false" ht="15" hidden="false" customHeight="false" outlineLevel="0" collapsed="false">
      <c r="A299" s="3"/>
      <c r="B299" s="4"/>
      <c r="C299" s="4"/>
      <c r="D299" s="5"/>
      <c r="E299" s="7"/>
      <c r="F299" s="7"/>
      <c r="G299" s="7"/>
      <c r="H299" s="7"/>
      <c r="I299" s="7"/>
      <c r="J299" s="5"/>
      <c r="K299" s="5"/>
      <c r="L299" s="5"/>
      <c r="M299" s="7"/>
      <c r="N299" s="4"/>
      <c r="O299" s="4"/>
      <c r="P299" s="8" t="str">
        <f aca="true">IF(B299="","",IF(O299&lt;&gt;"",O299-B299,TODAY()-B299))</f>
        <v/>
      </c>
      <c r="Q299" s="9" t="str">
        <f aca="true">IF(OR(N299="",L299="完了"),"",IF(TODAY()&gt;N299,"超過",IF(TODAY()+3&gt;=N299,"間近","")))</f>
        <v/>
      </c>
      <c r="R299" s="5"/>
      <c r="S299" s="10"/>
      <c r="T299" s="7"/>
    </row>
    <row r="300" customFormat="false" ht="15" hidden="false" customHeight="false" outlineLevel="0" collapsed="false">
      <c r="A300" s="3"/>
      <c r="B300" s="4"/>
      <c r="C300" s="4"/>
      <c r="D300" s="5"/>
      <c r="E300" s="7"/>
      <c r="F300" s="7"/>
      <c r="G300" s="7"/>
      <c r="H300" s="7"/>
      <c r="I300" s="7"/>
      <c r="J300" s="5"/>
      <c r="K300" s="5"/>
      <c r="L300" s="5"/>
      <c r="M300" s="7"/>
      <c r="N300" s="4"/>
      <c r="O300" s="4"/>
      <c r="P300" s="8" t="str">
        <f aca="true">IF(B300="","",IF(O300&lt;&gt;"",O300-B300,TODAY()-B300))</f>
        <v/>
      </c>
      <c r="Q300" s="9" t="str">
        <f aca="true">IF(OR(N300="",L300="完了"),"",IF(TODAY()&gt;N300,"超過",IF(TODAY()+3&gt;=N300,"間近","")))</f>
        <v/>
      </c>
      <c r="R300" s="5"/>
      <c r="S300" s="10"/>
      <c r="T300" s="7"/>
    </row>
  </sheetData>
  <autoFilter ref="A1:T300"/>
  <conditionalFormatting sqref="L2:L300">
    <cfRule type="cellIs" priority="2" operator="equal" aboveAverage="0" equalAverage="0" bottom="0" percent="0" rank="0" text="" dxfId="16">
      <formula>"未対応"</formula>
    </cfRule>
    <cfRule type="cellIs" priority="3" operator="equal" aboveAverage="0" equalAverage="0" bottom="0" percent="0" rank="0" text="" dxfId="17">
      <formula>"対応中"</formula>
    </cfRule>
    <cfRule type="cellIs" priority="4" operator="equal" aboveAverage="0" equalAverage="0" bottom="0" percent="0" rank="0" text="" dxfId="18">
      <formula>"保留"</formula>
    </cfRule>
    <cfRule type="cellIs" priority="5" operator="equal" aboveAverage="0" equalAverage="0" bottom="0" percent="0" rank="0" text="" dxfId="19">
      <formula>"完了"</formula>
    </cfRule>
  </conditionalFormatting>
  <conditionalFormatting sqref="Q2:Q300">
    <cfRule type="cellIs" priority="6" operator="equal" aboveAverage="0" equalAverage="0" bottom="0" percent="0" rank="0" text="" dxfId="20">
      <formula>"超過"</formula>
    </cfRule>
    <cfRule type="cellIs" priority="7" operator="equal" aboveAverage="0" equalAverage="0" bottom="0" percent="0" rank="0" text="" dxfId="21">
      <formula>"間近"</formula>
    </cfRule>
  </conditionalFormatting>
  <conditionalFormatting sqref="A2:K300 M2:P300 R2:T300">
    <cfRule type="expression" priority="8" aboveAverage="0" equalAverage="0" bottom="0" percent="0" rank="0" text="" dxfId="22">
      <formula>$Q2="超過"</formula>
    </cfRule>
    <cfRule type="expression" priority="9" aboveAverage="0" equalAverage="0" bottom="0" percent="0" rank="0" text="" dxfId="23">
      <formula>$L2="完了"</formula>
    </cfRule>
  </conditionalFormatting>
  <dataValidations count="10">
    <dataValidation allowBlank="true" error="プルダウンから選択してください（選択肢は「マスタ」シートで変更できます）" errorStyle="stop" errorTitle="入力エラー" operator="between" showDropDown="false" showErrorMessage="true" showInputMessage="false" sqref="D2:D1000" type="list">
      <formula1>マスタ!$A$2:$A$6</formula1>
      <formula2>0</formula2>
    </dataValidation>
    <dataValidation allowBlank="true" error="プルダウンから選択してください（選択肢は「マスタ」シートで変更できます）" errorStyle="stop" errorTitle="入力エラー" operator="between" showDropDown="false" showErrorMessage="true" showInputMessage="false" sqref="L2:L1000" type="list">
      <formula1>マスタ!$B$2:$B$5</formula1>
      <formula2>0</formula2>
    </dataValidation>
    <dataValidation allowBlank="true" error="プルダウンから選択してください（選択肢は「マスタ」シートで変更できます）" errorStyle="stop" errorTitle="入力エラー" operator="between" showDropDown="false" showErrorMessage="true" showInputMessage="false" sqref="J2:J1000" type="list">
      <formula1>マスタ!$C$2:$C$4</formula1>
      <formula2>0</formula2>
    </dataValidation>
    <dataValidation allowBlank="true" error="プルダウンから選択してください（選択肢は「マスタ」シートで変更できます）" errorStyle="stop" errorTitle="入力エラー" operator="between" showDropDown="false" showErrorMessage="true" showInputMessage="false" sqref="R2:R1000" type="list">
      <formula1>マスタ!$D$2:$D$4</formula1>
      <formula2>0</formula2>
    </dataValidation>
    <dataValidation allowBlank="true" errorStyle="stop" operator="between" showDropDown="false" showErrorMessage="false" showInputMessage="false" sqref="K2:K1000" type="list">
      <formula1>マスタ!$E$2:$E$21</formula1>
      <formula2>0</formula2>
    </dataValidation>
    <dataValidation allowBlank="true" error="日付を 2026/09/20 のような形式で入力してください" errorStyle="stop" errorTitle="入力エラー" operator="greaterThan" showDropDown="false" showErrorMessage="true" showInputMessage="false" sqref="B2:B1000" type="date">
      <formula1>DATE(2000,1,1)</formula1>
      <formula2>0</formula2>
    </dataValidation>
    <dataValidation allowBlank="true" error="日付を 2026/09/20 のような形式で入力してください" errorStyle="stop" errorTitle="入力エラー" operator="greaterThan" showDropDown="false" showErrorMessage="true" showInputMessage="false" sqref="C2:C1000" type="date">
      <formula1>DATE(2000,1,1)</formula1>
      <formula2>0</formula2>
    </dataValidation>
    <dataValidation allowBlank="true" error="日付を 2026/09/20 のような形式で入力してください" errorStyle="stop" errorTitle="入力エラー" operator="greaterThan" showDropDown="false" showErrorMessage="true" showInputMessage="false" sqref="N2:N1000" type="date">
      <formula1>DATE(2000,1,1)</formula1>
      <formula2>0</formula2>
    </dataValidation>
    <dataValidation allowBlank="true" error="日付を 2026/09/20 のような形式で入力してください" errorStyle="stop" errorTitle="入力エラー" operator="greaterThan" showDropDown="false" showErrorMessage="true" showInputMessage="false" sqref="O2:O1000" type="date">
      <formula1>DATE(2000,1,1)</formula1>
      <formula2>0</formula2>
    </dataValidation>
    <dataValidation allowBlank="true" error="金額は数値で入力してください（例: 45000）" errorStyle="stop" errorTitle="入力エラー" operator="greaterThanOrEqual" showDropDown="false" showErrorMessage="true" showInputMessage="false" sqref="S2:S10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9" min="5" style="0" width="1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1" t="s">
        <v>55</v>
      </c>
    </row>
    <row r="2" customFormat="false" ht="15" hidden="false" customHeight="false" outlineLevel="0" collapsed="false">
      <c r="A2" s="12" t="s">
        <v>56</v>
      </c>
      <c r="D2" s="13" t="n">
        <f aca="true">TODAY()</f>
        <v>46285</v>
      </c>
    </row>
    <row r="4" customFormat="false" ht="15" hidden="false" customHeight="false" outlineLevel="0" collapsed="false">
      <c r="A4" s="14" t="s">
        <v>57</v>
      </c>
      <c r="D4" s="14" t="s">
        <v>58</v>
      </c>
    </row>
    <row r="5" customFormat="false" ht="15" hidden="false" customHeight="false" outlineLevel="0" collapsed="false">
      <c r="A5" s="1" t="s">
        <v>11</v>
      </c>
      <c r="B5" s="1" t="s">
        <v>59</v>
      </c>
      <c r="D5" s="1" t="s">
        <v>3</v>
      </c>
      <c r="E5" s="1" t="s">
        <v>42</v>
      </c>
      <c r="F5" s="1" t="s">
        <v>29</v>
      </c>
      <c r="G5" s="1" t="s">
        <v>60</v>
      </c>
      <c r="H5" s="1" t="s">
        <v>52</v>
      </c>
      <c r="I5" s="1" t="s">
        <v>61</v>
      </c>
      <c r="J5" s="1" t="s">
        <v>62</v>
      </c>
    </row>
    <row r="6" customFormat="false" ht="15" hidden="false" customHeight="false" outlineLevel="0" collapsed="false">
      <c r="A6" s="15" t="s">
        <v>42</v>
      </c>
      <c r="B6" s="16" t="n">
        <f aca="false">COUNTIF(対応管理表!$L$2:$L$1000,A6)</f>
        <v>1</v>
      </c>
      <c r="D6" s="15" t="s">
        <v>21</v>
      </c>
      <c r="E6" s="16" t="n">
        <f aca="false">COUNTIFS(対応管理表!$D$2:$D$1000,$D6,対応管理表!$L$2:$L$1000,E$5)</f>
        <v>0</v>
      </c>
      <c r="F6" s="16" t="n">
        <f aca="false">COUNTIFS(対応管理表!$D$2:$D$1000,$D6,対応管理表!$L$2:$L$1000,F$5)</f>
        <v>1</v>
      </c>
      <c r="G6" s="16" t="n">
        <f aca="false">COUNTIFS(対応管理表!$D$2:$D$1000,$D6,対応管理表!$L$2:$L$1000,G$5)</f>
        <v>0</v>
      </c>
      <c r="H6" s="16" t="n">
        <f aca="false">COUNTIFS(対応管理表!$D$2:$D$1000,$D6,対応管理表!$L$2:$L$1000,H$5)</f>
        <v>0</v>
      </c>
      <c r="I6" s="17" t="n">
        <f aca="false">SUM(E6:H6)</f>
        <v>1</v>
      </c>
      <c r="J6" s="16" t="n">
        <f aca="false">SUMIF(対応管理表!$D$2:$D$1000,$D6,対応管理表!$S$2:$S$1000)</f>
        <v>45000</v>
      </c>
    </row>
    <row r="7" customFormat="false" ht="15" hidden="false" customHeight="false" outlineLevel="0" collapsed="false">
      <c r="A7" s="15" t="s">
        <v>29</v>
      </c>
      <c r="B7" s="16" t="n">
        <f aca="false">COUNTIF(対応管理表!$L$2:$L$1000,A7)</f>
        <v>1</v>
      </c>
      <c r="D7" s="15" t="s">
        <v>46</v>
      </c>
      <c r="E7" s="16" t="n">
        <f aca="false">COUNTIFS(対応管理表!$D$2:$D$1000,$D7,対応管理表!$L$2:$L$1000,E$5)</f>
        <v>0</v>
      </c>
      <c r="F7" s="16" t="n">
        <f aca="false">COUNTIFS(対応管理表!$D$2:$D$1000,$D7,対応管理表!$L$2:$L$1000,F$5)</f>
        <v>0</v>
      </c>
      <c r="G7" s="16" t="n">
        <f aca="false">COUNTIFS(対応管理表!$D$2:$D$1000,$D7,対応管理表!$L$2:$L$1000,G$5)</f>
        <v>0</v>
      </c>
      <c r="H7" s="16" t="n">
        <f aca="false">COUNTIFS(対応管理表!$D$2:$D$1000,$D7,対応管理表!$L$2:$L$1000,H$5)</f>
        <v>1</v>
      </c>
      <c r="I7" s="17" t="n">
        <f aca="false">SUM(E7:H7)</f>
        <v>1</v>
      </c>
      <c r="J7" s="16" t="n">
        <f aca="false">SUMIF(対応管理表!$D$2:$D$1000,$D7,対応管理表!$S$2:$S$1000)</f>
        <v>0</v>
      </c>
    </row>
    <row r="8" customFormat="false" ht="15" hidden="false" customHeight="false" outlineLevel="0" collapsed="false">
      <c r="A8" s="15" t="s">
        <v>60</v>
      </c>
      <c r="B8" s="16" t="n">
        <f aca="false">COUNTIF(対応管理表!$L$2:$L$1000,A8)</f>
        <v>0</v>
      </c>
      <c r="D8" s="15" t="s">
        <v>34</v>
      </c>
      <c r="E8" s="16" t="n">
        <f aca="false">COUNTIFS(対応管理表!$D$2:$D$1000,$D8,対応管理表!$L$2:$L$1000,E$5)</f>
        <v>1</v>
      </c>
      <c r="F8" s="16" t="n">
        <f aca="false">COUNTIFS(対応管理表!$D$2:$D$1000,$D8,対応管理表!$L$2:$L$1000,F$5)</f>
        <v>0</v>
      </c>
      <c r="G8" s="16" t="n">
        <f aca="false">COUNTIFS(対応管理表!$D$2:$D$1000,$D8,対応管理表!$L$2:$L$1000,G$5)</f>
        <v>0</v>
      </c>
      <c r="H8" s="16" t="n">
        <f aca="false">COUNTIFS(対応管理表!$D$2:$D$1000,$D8,対応管理表!$L$2:$L$1000,H$5)</f>
        <v>0</v>
      </c>
      <c r="I8" s="17" t="n">
        <f aca="false">SUM(E8:H8)</f>
        <v>1</v>
      </c>
      <c r="J8" s="16" t="n">
        <f aca="false">SUMIF(対応管理表!$D$2:$D$1000,$D8,対応管理表!$S$2:$S$1000)</f>
        <v>0</v>
      </c>
    </row>
    <row r="9" customFormat="false" ht="15" hidden="false" customHeight="false" outlineLevel="0" collapsed="false">
      <c r="A9" s="15" t="s">
        <v>52</v>
      </c>
      <c r="B9" s="16" t="n">
        <f aca="false">COUNTIF(対応管理表!$L$2:$L$1000,A9)</f>
        <v>1</v>
      </c>
      <c r="D9" s="15" t="s">
        <v>63</v>
      </c>
      <c r="E9" s="16" t="n">
        <f aca="false">COUNTIFS(対応管理表!$D$2:$D$1000,$D9,対応管理表!$L$2:$L$1000,E$5)</f>
        <v>0</v>
      </c>
      <c r="F9" s="16" t="n">
        <f aca="false">COUNTIFS(対応管理表!$D$2:$D$1000,$D9,対応管理表!$L$2:$L$1000,F$5)</f>
        <v>0</v>
      </c>
      <c r="G9" s="16" t="n">
        <f aca="false">COUNTIFS(対応管理表!$D$2:$D$1000,$D9,対応管理表!$L$2:$L$1000,G$5)</f>
        <v>0</v>
      </c>
      <c r="H9" s="16" t="n">
        <f aca="false">COUNTIFS(対応管理表!$D$2:$D$1000,$D9,対応管理表!$L$2:$L$1000,H$5)</f>
        <v>0</v>
      </c>
      <c r="I9" s="17" t="n">
        <f aca="false">SUM(E9:H9)</f>
        <v>0</v>
      </c>
      <c r="J9" s="16" t="n">
        <f aca="false">SUMIF(対応管理表!$D$2:$D$1000,$D9,対応管理表!$S$2:$S$1000)</f>
        <v>0</v>
      </c>
    </row>
    <row r="10" customFormat="false" ht="15" hidden="false" customHeight="false" outlineLevel="0" collapsed="false">
      <c r="A10" s="18" t="s">
        <v>61</v>
      </c>
      <c r="B10" s="17" t="n">
        <f aca="false">SUM(B6:B9)</f>
        <v>3</v>
      </c>
      <c r="D10" s="15" t="s">
        <v>64</v>
      </c>
      <c r="E10" s="16" t="n">
        <f aca="false">COUNTIFS(対応管理表!$D$2:$D$1000,$D10,対応管理表!$L$2:$L$1000,E$5)</f>
        <v>0</v>
      </c>
      <c r="F10" s="16" t="n">
        <f aca="false">COUNTIFS(対応管理表!$D$2:$D$1000,$D10,対応管理表!$L$2:$L$1000,F$5)</f>
        <v>0</v>
      </c>
      <c r="G10" s="16" t="n">
        <f aca="false">COUNTIFS(対応管理表!$D$2:$D$1000,$D10,対応管理表!$L$2:$L$1000,G$5)</f>
        <v>0</v>
      </c>
      <c r="H10" s="16" t="n">
        <f aca="false">COUNTIFS(対応管理表!$D$2:$D$1000,$D10,対応管理表!$L$2:$L$1000,H$5)</f>
        <v>0</v>
      </c>
      <c r="I10" s="17" t="n">
        <f aca="false">SUM(E10:H10)</f>
        <v>0</v>
      </c>
      <c r="J10" s="16" t="n">
        <f aca="false">SUMIF(対応管理表!$D$2:$D$1000,$D10,対応管理表!$S$2:$S$1000)</f>
        <v>0</v>
      </c>
    </row>
    <row r="11" customFormat="false" ht="15" hidden="false" customHeight="false" outlineLevel="0" collapsed="false">
      <c r="A11" s="19" t="s">
        <v>65</v>
      </c>
      <c r="B11" s="20" t="n">
        <f aca="false">B6+B7+B8</f>
        <v>2</v>
      </c>
      <c r="D11" s="18" t="s">
        <v>61</v>
      </c>
      <c r="E11" s="17" t="n">
        <f aca="false">SUM(E6:E10)</f>
        <v>1</v>
      </c>
      <c r="F11" s="17" t="n">
        <f aca="false">SUM(F6:F10)</f>
        <v>1</v>
      </c>
      <c r="G11" s="17" t="n">
        <f aca="false">SUM(G6:G10)</f>
        <v>0</v>
      </c>
      <c r="H11" s="17" t="n">
        <f aca="false">SUM(H6:H10)</f>
        <v>1</v>
      </c>
      <c r="I11" s="17" t="n">
        <f aca="false">SUM(I6:I10)</f>
        <v>3</v>
      </c>
      <c r="J11" s="17" t="n">
        <f aca="false">SUM(J6:J10)</f>
        <v>45000</v>
      </c>
    </row>
    <row r="13" customFormat="false" ht="15" hidden="false" customHeight="false" outlineLevel="0" collapsed="false">
      <c r="A13" s="14" t="s">
        <v>66</v>
      </c>
    </row>
    <row r="14" customFormat="false" ht="15" hidden="false" customHeight="false" outlineLevel="0" collapsed="false">
      <c r="A14" s="1" t="s">
        <v>67</v>
      </c>
      <c r="B14" s="1" t="s">
        <v>68</v>
      </c>
    </row>
    <row r="15" customFormat="false" ht="15" hidden="false" customHeight="false" outlineLevel="0" collapsed="false">
      <c r="A15" s="21" t="s">
        <v>69</v>
      </c>
      <c r="B15" s="20" t="n">
        <f aca="false">COUNTIF(対応管理表!$Q$2:$Q$1000,"超過")</f>
        <v>1</v>
      </c>
    </row>
    <row r="16" customFormat="false" ht="15" hidden="false" customHeight="false" outlineLevel="0" collapsed="false">
      <c r="A16" s="21" t="s">
        <v>70</v>
      </c>
      <c r="B16" s="16" t="n">
        <f aca="false">COUNTIF(対応管理表!$Q$2:$Q$1000,"間近")</f>
        <v>1</v>
      </c>
    </row>
    <row r="17" customFormat="false" ht="15" hidden="false" customHeight="false" outlineLevel="0" collapsed="false">
      <c r="A17" s="21" t="s">
        <v>71</v>
      </c>
      <c r="B17" s="16" t="n">
        <f aca="true">COUNTIFS(対応管理表!$B$2:$B$1000,"&gt;="&amp;DATE(YEAR(TODAY()),MONTH(TODAY()),1),対応管理表!$B$2:$B$1000,"&lt;"&amp;DATE(YEAR(TODAY()),MONTH(TODAY())+1,1))</f>
        <v>2</v>
      </c>
    </row>
    <row r="18" customFormat="false" ht="15" hidden="false" customHeight="false" outlineLevel="0" collapsed="false">
      <c r="A18" s="21" t="s">
        <v>62</v>
      </c>
      <c r="B18" s="16" t="n">
        <f aca="false">SUM(対応管理表!$S$2:$S$1000)</f>
        <v>45000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7" min="7" style="0" width="80"/>
  </cols>
  <sheetData>
    <row r="1" customFormat="false" ht="15" hidden="false" customHeight="false" outlineLevel="0" collapsed="false">
      <c r="A1" s="1" t="s">
        <v>3</v>
      </c>
      <c r="B1" s="1" t="s">
        <v>11</v>
      </c>
      <c r="C1" s="1" t="s">
        <v>9</v>
      </c>
      <c r="D1" s="1" t="s">
        <v>72</v>
      </c>
      <c r="E1" s="1" t="s">
        <v>73</v>
      </c>
      <c r="G1" s="22" t="s">
        <v>74</v>
      </c>
    </row>
    <row r="2" customFormat="false" ht="15" hidden="false" customHeight="false" outlineLevel="0" collapsed="false">
      <c r="A2" s="23" t="s">
        <v>21</v>
      </c>
      <c r="B2" s="23" t="s">
        <v>42</v>
      </c>
      <c r="C2" s="23" t="s">
        <v>27</v>
      </c>
      <c r="D2" s="23" t="s">
        <v>31</v>
      </c>
      <c r="E2" s="23" t="s">
        <v>28</v>
      </c>
      <c r="G2" s="24" t="s">
        <v>75</v>
      </c>
    </row>
    <row r="3" customFormat="false" ht="15" hidden="false" customHeight="false" outlineLevel="0" collapsed="false">
      <c r="A3" s="23" t="s">
        <v>46</v>
      </c>
      <c r="B3" s="23" t="s">
        <v>29</v>
      </c>
      <c r="C3" s="23" t="s">
        <v>40</v>
      </c>
      <c r="D3" s="23" t="s">
        <v>44</v>
      </c>
      <c r="E3" s="23" t="s">
        <v>41</v>
      </c>
      <c r="G3" s="24" t="s">
        <v>76</v>
      </c>
    </row>
    <row r="4" customFormat="false" ht="15" hidden="false" customHeight="false" outlineLevel="0" collapsed="false">
      <c r="A4" s="23" t="s">
        <v>34</v>
      </c>
      <c r="B4" s="23" t="s">
        <v>60</v>
      </c>
      <c r="C4" s="23" t="s">
        <v>77</v>
      </c>
      <c r="D4" s="23" t="s">
        <v>78</v>
      </c>
      <c r="E4" s="23" t="s">
        <v>79</v>
      </c>
      <c r="G4" s="24" t="s">
        <v>80</v>
      </c>
    </row>
    <row r="5" customFormat="false" ht="15" hidden="false" customHeight="false" outlineLevel="0" collapsed="false">
      <c r="A5" s="23" t="s">
        <v>63</v>
      </c>
      <c r="B5" s="23" t="s">
        <v>52</v>
      </c>
      <c r="E5" s="23"/>
    </row>
    <row r="6" customFormat="false" ht="15" hidden="false" customHeight="false" outlineLevel="0" collapsed="false">
      <c r="A6" s="23" t="s">
        <v>64</v>
      </c>
      <c r="E6" s="23"/>
    </row>
    <row r="7" customFormat="false" ht="15" hidden="false" customHeight="false" outlineLevel="0" collapsed="false">
      <c r="E7" s="23"/>
    </row>
    <row r="8" customFormat="false" ht="15" hidden="false" customHeight="false" outlineLevel="0" collapsed="false">
      <c r="E8" s="23"/>
    </row>
    <row r="9" customFormat="false" ht="15" hidden="false" customHeight="false" outlineLevel="0" collapsed="false">
      <c r="E9" s="23"/>
    </row>
    <row r="10" customFormat="false" ht="15" hidden="false" customHeight="false" outlineLevel="0" collapsed="false">
      <c r="E10" s="23"/>
    </row>
    <row r="11" customFormat="false" ht="15" hidden="false" customHeight="false" outlineLevel="0" collapsed="false">
      <c r="E11" s="23"/>
    </row>
    <row r="12" customFormat="false" ht="15" hidden="false" customHeight="false" outlineLevel="0" collapsed="false">
      <c r="E12" s="23"/>
    </row>
    <row r="13" customFormat="false" ht="15" hidden="false" customHeight="false" outlineLevel="0" collapsed="false">
      <c r="E13" s="23"/>
    </row>
    <row r="14" customFormat="false" ht="15" hidden="false" customHeight="false" outlineLevel="0" collapsed="false">
      <c r="E14" s="23"/>
    </row>
    <row r="15" customFormat="false" ht="15" hidden="false" customHeight="false" outlineLevel="0" collapsed="false">
      <c r="E15" s="23"/>
    </row>
    <row r="16" customFormat="false" ht="15" hidden="false" customHeight="false" outlineLevel="0" collapsed="false">
      <c r="E16" s="23"/>
    </row>
    <row r="17" customFormat="false" ht="15" hidden="false" customHeight="false" outlineLevel="0" collapsed="false">
      <c r="E17" s="23"/>
    </row>
    <row r="18" customFormat="false" ht="15" hidden="false" customHeight="false" outlineLevel="0" collapsed="false">
      <c r="E18" s="23"/>
    </row>
    <row r="19" customFormat="false" ht="15" hidden="false" customHeight="false" outlineLevel="0" collapsed="false">
      <c r="E19" s="23"/>
    </row>
    <row r="20" customFormat="false" ht="15" hidden="false" customHeight="false" outlineLevel="0" collapsed="false">
      <c r="E20" s="23"/>
    </row>
    <row r="21" customFormat="false" ht="15" hidden="false" customHeight="false" outlineLevel="0" collapsed="false">
      <c r="E2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88"/>
  </cols>
  <sheetData>
    <row r="1" customFormat="false" ht="17.35" hidden="false" customHeight="false" outlineLevel="0" collapsed="false">
      <c r="B1" s="11" t="s">
        <v>81</v>
      </c>
    </row>
    <row r="2" customFormat="false" ht="36" hidden="false" customHeight="true" outlineLevel="0" collapsed="false">
      <c r="C2" s="25" t="s">
        <v>82</v>
      </c>
    </row>
    <row r="4" customFormat="false" ht="16.4" hidden="false" customHeight="false" outlineLevel="0" collapsed="false">
      <c r="B4" s="26" t="s">
        <v>83</v>
      </c>
    </row>
    <row r="5" customFormat="false" ht="36" hidden="false" customHeight="true" outlineLevel="0" collapsed="false">
      <c r="C5" s="27" t="s">
        <v>84</v>
      </c>
    </row>
    <row r="6" customFormat="false" ht="36" hidden="false" customHeight="true" outlineLevel="0" collapsed="false">
      <c r="C6" s="25" t="s">
        <v>85</v>
      </c>
    </row>
    <row r="7" customFormat="false" ht="36" hidden="false" customHeight="true" outlineLevel="0" collapsed="false">
      <c r="C7" s="25" t="s">
        <v>86</v>
      </c>
    </row>
    <row r="8" customFormat="false" ht="15" hidden="false" customHeight="false" outlineLevel="0" collapsed="false">
      <c r="C8" s="25" t="s">
        <v>87</v>
      </c>
    </row>
    <row r="9" customFormat="false" ht="15" hidden="false" customHeight="false" outlineLevel="0" collapsed="false">
      <c r="C9" s="25" t="s">
        <v>88</v>
      </c>
    </row>
    <row r="11" customFormat="false" ht="16.4" hidden="false" customHeight="false" outlineLevel="0" collapsed="false">
      <c r="B11" s="26" t="s">
        <v>89</v>
      </c>
    </row>
    <row r="12" customFormat="false" ht="36" hidden="false" customHeight="true" outlineLevel="0" collapsed="false">
      <c r="C12" s="25" t="s">
        <v>90</v>
      </c>
    </row>
    <row r="13" customFormat="false" ht="15" hidden="false" customHeight="false" outlineLevel="0" collapsed="false">
      <c r="C13" s="25" t="s">
        <v>91</v>
      </c>
    </row>
    <row r="14" customFormat="false" ht="36" hidden="false" customHeight="true" outlineLevel="0" collapsed="false">
      <c r="C14" s="25" t="s">
        <v>92</v>
      </c>
    </row>
    <row r="15" customFormat="false" ht="15" hidden="false" customHeight="false" outlineLevel="0" collapsed="false">
      <c r="C15" s="25" t="s">
        <v>93</v>
      </c>
    </row>
    <row r="16" customFormat="false" ht="15" hidden="false" customHeight="false" outlineLevel="0" collapsed="false">
      <c r="C16" s="25" t="s">
        <v>94</v>
      </c>
    </row>
    <row r="18" customFormat="false" ht="16.4" hidden="false" customHeight="false" outlineLevel="0" collapsed="false">
      <c r="B18" s="26" t="s">
        <v>95</v>
      </c>
    </row>
    <row r="19" customFormat="false" ht="15" hidden="false" customHeight="false" outlineLevel="0" collapsed="false">
      <c r="B19" s="28" t="s">
        <v>11</v>
      </c>
      <c r="C19" s="6" t="s">
        <v>96</v>
      </c>
    </row>
    <row r="20" customFormat="false" ht="36" hidden="false" customHeight="true" outlineLevel="0" collapsed="false">
      <c r="B20" s="28" t="s">
        <v>97</v>
      </c>
      <c r="C20" s="6" t="s">
        <v>98</v>
      </c>
    </row>
    <row r="21" customFormat="false" ht="15" hidden="false" customHeight="false" outlineLevel="0" collapsed="false">
      <c r="B21" s="28" t="s">
        <v>99</v>
      </c>
      <c r="C21" s="6" t="s">
        <v>100</v>
      </c>
    </row>
    <row r="23" customFormat="false" ht="16.4" hidden="false" customHeight="false" outlineLevel="0" collapsed="false">
      <c r="B23" s="26" t="s">
        <v>101</v>
      </c>
    </row>
    <row r="24" customFormat="false" ht="36" hidden="false" customHeight="true" outlineLevel="0" collapsed="false">
      <c r="B24" s="28" t="s">
        <v>102</v>
      </c>
      <c r="C24" s="6" t="s">
        <v>103</v>
      </c>
    </row>
    <row r="25" customFormat="false" ht="15" hidden="false" customHeight="false" outlineLevel="0" collapsed="false">
      <c r="B25" s="28" t="s">
        <v>104</v>
      </c>
      <c r="C25" s="6" t="s">
        <v>105</v>
      </c>
    </row>
    <row r="26" customFormat="false" ht="15" hidden="false" customHeight="false" outlineLevel="0" collapsed="false">
      <c r="B26" s="28" t="s">
        <v>3</v>
      </c>
      <c r="C26" s="6" t="s">
        <v>106</v>
      </c>
    </row>
    <row r="27" customFormat="false" ht="15" hidden="false" customHeight="false" outlineLevel="0" collapsed="false">
      <c r="B27" s="28" t="s">
        <v>107</v>
      </c>
      <c r="C27" s="6" t="s">
        <v>108</v>
      </c>
    </row>
    <row r="28" customFormat="false" ht="15" hidden="false" customHeight="false" outlineLevel="0" collapsed="false">
      <c r="B28" s="28" t="s">
        <v>109</v>
      </c>
      <c r="C28" s="6" t="s">
        <v>110</v>
      </c>
    </row>
    <row r="29" customFormat="false" ht="15" hidden="false" customHeight="false" outlineLevel="0" collapsed="false">
      <c r="B29" s="28" t="s">
        <v>8</v>
      </c>
      <c r="C29" s="6" t="s">
        <v>111</v>
      </c>
    </row>
    <row r="30" customFormat="false" ht="15" hidden="false" customHeight="false" outlineLevel="0" collapsed="false">
      <c r="B30" s="28" t="s">
        <v>9</v>
      </c>
      <c r="C30" s="6" t="s">
        <v>112</v>
      </c>
    </row>
    <row r="31" customFormat="false" ht="15" hidden="false" customHeight="false" outlineLevel="0" collapsed="false">
      <c r="B31" s="28" t="s">
        <v>10</v>
      </c>
      <c r="C31" s="6" t="s">
        <v>113</v>
      </c>
    </row>
    <row r="32" customFormat="false" ht="36" hidden="false" customHeight="true" outlineLevel="0" collapsed="false">
      <c r="B32" s="28" t="s">
        <v>11</v>
      </c>
      <c r="C32" s="6" t="s">
        <v>114</v>
      </c>
    </row>
    <row r="33" customFormat="false" ht="36" hidden="false" customHeight="true" outlineLevel="0" collapsed="false">
      <c r="B33" s="28" t="s">
        <v>12</v>
      </c>
      <c r="C33" s="6" t="s">
        <v>115</v>
      </c>
    </row>
    <row r="34" customFormat="false" ht="15" hidden="false" customHeight="false" outlineLevel="0" collapsed="false">
      <c r="B34" s="28" t="s">
        <v>116</v>
      </c>
      <c r="C34" s="6" t="s">
        <v>117</v>
      </c>
    </row>
    <row r="35" customFormat="false" ht="15" hidden="false" customHeight="false" outlineLevel="0" collapsed="false">
      <c r="B35" s="28" t="s">
        <v>72</v>
      </c>
      <c r="C35" s="6" t="s">
        <v>118</v>
      </c>
    </row>
    <row r="36" customFormat="false" ht="15" hidden="false" customHeight="false" outlineLevel="0" collapsed="false">
      <c r="B36" s="28" t="s">
        <v>18</v>
      </c>
      <c r="C36" s="6" t="s">
        <v>119</v>
      </c>
    </row>
    <row r="38" customFormat="false" ht="16.4" hidden="false" customHeight="false" outlineLevel="0" collapsed="false">
      <c r="B38" s="26" t="s">
        <v>120</v>
      </c>
    </row>
    <row r="39" customFormat="false" ht="36" hidden="false" customHeight="true" outlineLevel="0" collapsed="false">
      <c r="B39" s="28" t="s">
        <v>121</v>
      </c>
      <c r="C39" s="6" t="s">
        <v>122</v>
      </c>
    </row>
    <row r="40" customFormat="false" ht="36" hidden="false" customHeight="true" outlineLevel="0" collapsed="false">
      <c r="B40" s="28" t="s">
        <v>123</v>
      </c>
      <c r="C40" s="6" t="s">
        <v>124</v>
      </c>
    </row>
    <row r="41" customFormat="false" ht="36" hidden="false" customHeight="true" outlineLevel="0" collapsed="false">
      <c r="B41" s="28" t="s">
        <v>125</v>
      </c>
      <c r="C41" s="6" t="s">
        <v>126</v>
      </c>
    </row>
    <row r="42" customFormat="false" ht="36" hidden="false" customHeight="true" outlineLevel="0" collapsed="false">
      <c r="B42" s="28" t="s">
        <v>127</v>
      </c>
      <c r="C42" s="6" t="s">
        <v>128</v>
      </c>
    </row>
    <row r="43" customFormat="false" ht="36" hidden="false" customHeight="true" outlineLevel="0" collapsed="false">
      <c r="B43" s="28" t="s">
        <v>129</v>
      </c>
      <c r="C43" s="6" t="s">
        <v>130</v>
      </c>
    </row>
    <row r="44" customFormat="false" ht="36" hidden="false" customHeight="true" outlineLevel="0" collapsed="false">
      <c r="B44" s="28" t="s">
        <v>131</v>
      </c>
      <c r="C44" s="7" t="s">
        <v>132</v>
      </c>
    </row>
    <row r="46" customFormat="false" ht="16.4" hidden="false" customHeight="false" outlineLevel="0" collapsed="false">
      <c r="B46" s="26" t="s">
        <v>133</v>
      </c>
    </row>
    <row r="47" customFormat="false" ht="36" hidden="false" customHeight="true" outlineLevel="0" collapsed="false">
      <c r="C47" s="25" t="s">
        <v>134</v>
      </c>
    </row>
    <row r="48" customFormat="false" ht="36" hidden="false" customHeight="true" outlineLevel="0" collapsed="false">
      <c r="C48" s="25" t="s">
        <v>135</v>
      </c>
    </row>
    <row r="49" customFormat="false" ht="36" hidden="false" customHeight="true" outlineLevel="0" collapsed="false">
      <c r="C49" s="25" t="s">
        <v>136</v>
      </c>
    </row>
    <row r="50" customFormat="false" ht="36" hidden="false" customHeight="true" outlineLevel="0" collapsed="false">
      <c r="C50" s="25" t="s">
        <v>137</v>
      </c>
    </row>
    <row r="51" customFormat="false" ht="36" hidden="false" customHeight="true" outlineLevel="0" collapsed="false">
      <c r="C51" s="2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2026-09-20T05:48:29Z</dcterms:created>
  <dc:creator>openpyxl</dc:creator>
  <dc:description/>
  <dc:language>en-US</dc:language>
  <cp:lastModifiedBy/>
  <dcterms:modified xsi:type="dcterms:W3CDTF">2026-09-20T05:48:30Z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